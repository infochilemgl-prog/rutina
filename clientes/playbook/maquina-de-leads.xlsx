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Resumen" sheetId="2" state="visible" r:id="rId2"/>
    <sheet name="Segmentos" sheetId="3" state="visible" r:id="rId3"/>
    <sheet name="Palabras clave" sheetId="4" state="visible" r:id="rId4"/>
    <sheet name="L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D5D66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41416"/>
      </patternFill>
    </fill>
    <fill>
      <patternFill patternType="solid">
        <fgColor rgb="00FFF7CC"/>
      </patternFill>
    </fill>
    <fill>
      <patternFill patternType="solid">
        <fgColor rgb="00FDECEB"/>
      </patternFill>
    </fill>
  </fills>
  <borders count="2">
    <border>
      <left/>
      <right/>
      <top/>
      <bottom/>
      <diagonal/>
    </border>
    <border>
      <bottom style="thin">
        <color rgb="00DCDC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5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49" fontId="4" fillId="4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49" fontId="4" fillId="3" borderId="1" applyAlignment="1" pivotButton="0" quotePrefix="0" xfId="0">
      <alignment vertical="top" wrapText="1"/>
    </xf>
    <xf numFmtId="49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D11F26"/>
      </font>
    </dxf>
    <dxf>
      <fill>
        <patternFill patternType="solid">
          <fgColor rgb="00DDF3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9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Máquina de leads Nexvore</t>
        </is>
      </c>
    </row>
    <row r="2">
      <c r="B2" s="2" t="inlineStr">
        <is>
          <t>Tiendas de IG/TikTok con 1.500–40.000 seguidores, stock físico y sin tienda web propia.</t>
        </is>
      </c>
    </row>
    <row r="4">
      <c r="B4" s="3" t="inlineStr">
        <is>
          <t>Rutina diaria (noche anterior, 20 min)</t>
        </is>
      </c>
    </row>
    <row r="5">
      <c r="B5" s="4" t="inlineStr">
        <is>
          <t>1. Elige 1 segmento en la pestaña 'Segmentos' (rota: un segmento por día).</t>
        </is>
      </c>
    </row>
    <row r="6">
      <c r="B6" s="4" t="inlineStr">
        <is>
          <t>2. Abre 'Palabras clave', filtra por ese segmento y toma 3–5 palabras con estado 'Pendiente'.</t>
        </is>
      </c>
    </row>
    <row r="7">
      <c r="B7" s="4" t="inlineStr">
        <is>
          <t>3. Busca cada palabra en su plataforma. Las de tipo 'Google' se pegan tal cual en Google (encuentran perfiles con número o 'envíos a todo Chile' en la bio).</t>
        </is>
      </c>
    </row>
    <row r="8">
      <c r="B8" s="4" t="inlineStr">
        <is>
          <t>4. Por cada cuenta que cumpla el filtro, agrega una fila en 'Leads'. La columna 'En rango' se marca sola (1.500–40.000 seguidores).</t>
        </is>
      </c>
    </row>
    <row r="9">
      <c r="B9" s="4" t="inlineStr">
        <is>
          <t>5. En cada perfil que sirva, toca 'Sugerencias para ti' → cada cuenta buena trae 5–10 parecidas.</t>
        </is>
      </c>
    </row>
    <row r="10">
      <c r="B10" s="4" t="inlineStr">
        <is>
          <t>6. Anota 'Cosa 1' y 'Cosa 2' (lo que mejorarías) → son el mensaje del día siguiente (ver 01-prospeccion.md).</t>
        </is>
      </c>
    </row>
    <row r="11">
      <c r="B11" s="4" t="inlineStr">
        <is>
          <t>7. Marca la palabra clave como 'Usada' y anota cuántos leads dio. Las que más dan, se repiten.</t>
        </is>
      </c>
    </row>
    <row r="12">
      <c r="B12" s="4" t="inlineStr"/>
    </row>
    <row r="13">
      <c r="B13" s="3" t="inlineStr">
        <is>
          <t>Filtro de un lead (las 4 obligatorias)</t>
        </is>
      </c>
    </row>
    <row r="14">
      <c r="B14" s="4" t="inlineStr">
        <is>
          <t>• 1.500 a 40.000 seguidores · • Vende producto físico con stock · • Sin tienda web o con una mala (link a WhatsApp/Linktree/nada) · • Publicó en los últimos 14 días</t>
        </is>
      </c>
    </row>
    <row r="15">
      <c r="B15" s="4" t="inlineStr"/>
    </row>
    <row r="16">
      <c r="B16" s="3" t="inlineStr">
        <is>
          <t>Leyenda</t>
        </is>
      </c>
    </row>
    <row r="17">
      <c r="B17" s="4" t="inlineStr">
        <is>
          <t>Celdas amarillas = las llenas tú. Celdas blancas con fórmula = se calculan solas, no las edites.</t>
        </is>
      </c>
    </row>
    <row r="18">
      <c r="B18" s="4" t="inlineStr">
        <is>
          <t>La fila marcada 'EJEMPLO' en Leads muestra el formato; bórrala cuando tengas leads reales.</t>
        </is>
      </c>
    </row>
    <row r="19">
      <c r="B19" s="4" t="inlineStr">
        <is>
          <t>Meta: 100 leads nuevos por semana en la planilla → 100 contactos enviados al día sale de aquí.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Resumen del embudo</t>
        </is>
      </c>
    </row>
    <row r="2">
      <c r="A2" s="2" t="inlineStr">
        <is>
          <t>Se calcula solo desde 'Leads' y 'Palabras clave'. No editar.</t>
        </is>
      </c>
    </row>
    <row r="4">
      <c r="A4" s="5" t="inlineStr">
        <is>
          <t>Segmento</t>
        </is>
      </c>
      <c r="B4" s="5" t="inlineStr">
        <is>
          <t>Leads</t>
        </is>
      </c>
      <c r="C4" s="5" t="inlineStr">
        <is>
          <t>En rango</t>
        </is>
      </c>
      <c r="D4" s="5" t="inlineStr">
        <is>
          <t>Por revisar</t>
        </is>
      </c>
      <c r="E4" s="5" t="inlineStr">
        <is>
          <t>Por contactar</t>
        </is>
      </c>
      <c r="F4" s="5" t="inlineStr">
        <is>
          <t>Enviado</t>
        </is>
      </c>
      <c r="G4" s="5" t="inlineStr">
        <is>
          <t>Respondió</t>
        </is>
      </c>
      <c r="H4" s="5" t="inlineStr">
        <is>
          <t>Reunión</t>
        </is>
      </c>
      <c r="I4" s="5" t="inlineStr">
        <is>
          <t>Cerrado</t>
        </is>
      </c>
    </row>
    <row r="5">
      <c r="A5" s="6" t="inlineStr">
        <is>
          <t>S1 Moda luxury hombre</t>
        </is>
      </c>
      <c r="B5" s="6">
        <f>COUNTIFS(Leads!$E$2:$E$201,"S1",Leads!$A$2:$A$201,"&lt;&gt;EJEMPLO")</f>
        <v/>
      </c>
      <c r="C5" s="6">
        <f>COUNTIFS(Leads!$E$2:$E$201,"S1",Leads!$G$2:$G$201,"Sí",Leads!$A$2:$A$201,"&lt;&gt;EJEMPLO")</f>
        <v/>
      </c>
      <c r="D5" s="6">
        <f>COUNTIFS(Leads!$E$2:$E$201,"S1",Leads!$M$2:$M$201,"Por revisar",Leads!$A$2:$A$201,"&lt;&gt;EJEMPLO")</f>
        <v/>
      </c>
      <c r="E5" s="6">
        <f>COUNTIFS(Leads!$E$2:$E$201,"S1",Leads!$M$2:$M$201,"Por contactar",Leads!$A$2:$A$201,"&lt;&gt;EJEMPLO")</f>
        <v/>
      </c>
      <c r="F5" s="6">
        <f>COUNTIFS(Leads!$E$2:$E$201,"S1",Leads!$M$2:$M$201,"Enviado",Leads!$A$2:$A$201,"&lt;&gt;EJEMPLO")</f>
        <v/>
      </c>
      <c r="G5" s="6">
        <f>COUNTIFS(Leads!$E$2:$E$201,"S1",Leads!$M$2:$M$201,"Respondió",Leads!$A$2:$A$201,"&lt;&gt;EJEMPLO")</f>
        <v/>
      </c>
      <c r="H5" s="6">
        <f>COUNTIFS(Leads!$E$2:$E$201,"S1",Leads!$M$2:$M$201,"Reunión",Leads!$A$2:$A$201,"&lt;&gt;EJEMPLO")</f>
        <v/>
      </c>
      <c r="I5" s="6">
        <f>COUNTIFS(Leads!$E$2:$E$201,"S1",Leads!$M$2:$M$201,"Cerrado",Leads!$A$2:$A$201,"&lt;&gt;EJEMPLO")</f>
        <v/>
      </c>
    </row>
    <row r="6">
      <c r="A6" s="6" t="inlineStr">
        <is>
          <t>S2 Sneakers</t>
        </is>
      </c>
      <c r="B6" s="6">
        <f>COUNTIFS(Leads!$E$2:$E$201,"S2",Leads!$A$2:$A$201,"&lt;&gt;EJEMPLO")</f>
        <v/>
      </c>
      <c r="C6" s="6">
        <f>COUNTIFS(Leads!$E$2:$E$201,"S2",Leads!$G$2:$G$201,"Sí",Leads!$A$2:$A$201,"&lt;&gt;EJEMPLO")</f>
        <v/>
      </c>
      <c r="D6" s="6">
        <f>COUNTIFS(Leads!$E$2:$E$201,"S2",Leads!$M$2:$M$201,"Por revisar",Leads!$A$2:$A$201,"&lt;&gt;EJEMPLO")</f>
        <v/>
      </c>
      <c r="E6" s="6">
        <f>COUNTIFS(Leads!$E$2:$E$201,"S2",Leads!$M$2:$M$201,"Por contactar",Leads!$A$2:$A$201,"&lt;&gt;EJEMPLO")</f>
        <v/>
      </c>
      <c r="F6" s="6">
        <f>COUNTIFS(Leads!$E$2:$E$201,"S2",Leads!$M$2:$M$201,"Enviado",Leads!$A$2:$A$201,"&lt;&gt;EJEMPLO")</f>
        <v/>
      </c>
      <c r="G6" s="6">
        <f>COUNTIFS(Leads!$E$2:$E$201,"S2",Leads!$M$2:$M$201,"Respondió",Leads!$A$2:$A$201,"&lt;&gt;EJEMPLO")</f>
        <v/>
      </c>
      <c r="H6" s="6">
        <f>COUNTIFS(Leads!$E$2:$E$201,"S2",Leads!$M$2:$M$201,"Reunión",Leads!$A$2:$A$201,"&lt;&gt;EJEMPLO")</f>
        <v/>
      </c>
      <c r="I6" s="6">
        <f>COUNTIFS(Leads!$E$2:$E$201,"S2",Leads!$M$2:$M$201,"Cerrado",Leads!$A$2:$A$201,"&lt;&gt;EJEMPLO")</f>
        <v/>
      </c>
    </row>
    <row r="7">
      <c r="A7" s="6" t="inlineStr">
        <is>
          <t>S3 Botas mujer</t>
        </is>
      </c>
      <c r="B7" s="6">
        <f>COUNTIFS(Leads!$E$2:$E$201,"S3",Leads!$A$2:$A$201,"&lt;&gt;EJEMPLO")</f>
        <v/>
      </c>
      <c r="C7" s="6">
        <f>COUNTIFS(Leads!$E$2:$E$201,"S3",Leads!$G$2:$G$201,"Sí",Leads!$A$2:$A$201,"&lt;&gt;EJEMPLO")</f>
        <v/>
      </c>
      <c r="D7" s="6">
        <f>COUNTIFS(Leads!$E$2:$E$201,"S3",Leads!$M$2:$M$201,"Por revisar",Leads!$A$2:$A$201,"&lt;&gt;EJEMPLO")</f>
        <v/>
      </c>
      <c r="E7" s="6">
        <f>COUNTIFS(Leads!$E$2:$E$201,"S3",Leads!$M$2:$M$201,"Por contactar",Leads!$A$2:$A$201,"&lt;&gt;EJEMPLO")</f>
        <v/>
      </c>
      <c r="F7" s="6">
        <f>COUNTIFS(Leads!$E$2:$E$201,"S3",Leads!$M$2:$M$201,"Enviado",Leads!$A$2:$A$201,"&lt;&gt;EJEMPLO")</f>
        <v/>
      </c>
      <c r="G7" s="6">
        <f>COUNTIFS(Leads!$E$2:$E$201,"S3",Leads!$M$2:$M$201,"Respondió",Leads!$A$2:$A$201,"&lt;&gt;EJEMPLO")</f>
        <v/>
      </c>
      <c r="H7" s="6">
        <f>COUNTIFS(Leads!$E$2:$E$201,"S3",Leads!$M$2:$M$201,"Reunión",Leads!$A$2:$A$201,"&lt;&gt;EJEMPLO")</f>
        <v/>
      </c>
      <c r="I7" s="6">
        <f>COUNTIFS(Leads!$E$2:$E$201,"S3",Leads!$M$2:$M$201,"Cerrado",Leads!$A$2:$A$201,"&lt;&gt;EJEMPLO")</f>
        <v/>
      </c>
    </row>
    <row r="8">
      <c r="A8" s="6" t="inlineStr">
        <is>
          <t>S4 Faldas / fiesta</t>
        </is>
      </c>
      <c r="B8" s="6">
        <f>COUNTIFS(Leads!$E$2:$E$201,"S4",Leads!$A$2:$A$201,"&lt;&gt;EJEMPLO")</f>
        <v/>
      </c>
      <c r="C8" s="6">
        <f>COUNTIFS(Leads!$E$2:$E$201,"S4",Leads!$G$2:$G$201,"Sí",Leads!$A$2:$A$201,"&lt;&gt;EJEMPLO")</f>
        <v/>
      </c>
      <c r="D8" s="6">
        <f>COUNTIFS(Leads!$E$2:$E$201,"S4",Leads!$M$2:$M$201,"Por revisar",Leads!$A$2:$A$201,"&lt;&gt;EJEMPLO")</f>
        <v/>
      </c>
      <c r="E8" s="6">
        <f>COUNTIFS(Leads!$E$2:$E$201,"S4",Leads!$M$2:$M$201,"Por contactar",Leads!$A$2:$A$201,"&lt;&gt;EJEMPLO")</f>
        <v/>
      </c>
      <c r="F8" s="6">
        <f>COUNTIFS(Leads!$E$2:$E$201,"S4",Leads!$M$2:$M$201,"Enviado",Leads!$A$2:$A$201,"&lt;&gt;EJEMPLO")</f>
        <v/>
      </c>
      <c r="G8" s="6">
        <f>COUNTIFS(Leads!$E$2:$E$201,"S4",Leads!$M$2:$M$201,"Respondió",Leads!$A$2:$A$201,"&lt;&gt;EJEMPLO")</f>
        <v/>
      </c>
      <c r="H8" s="6">
        <f>COUNTIFS(Leads!$E$2:$E$201,"S4",Leads!$M$2:$M$201,"Reunión",Leads!$A$2:$A$201,"&lt;&gt;EJEMPLO")</f>
        <v/>
      </c>
      <c r="I8" s="6">
        <f>COUNTIFS(Leads!$E$2:$E$201,"S4",Leads!$M$2:$M$201,"Cerrado",Leads!$A$2:$A$201,"&lt;&gt;EJEMPLO")</f>
        <v/>
      </c>
    </row>
    <row r="9">
      <c r="A9" s="6" t="inlineStr">
        <is>
          <t>S5 Boutiques mujer</t>
        </is>
      </c>
      <c r="B9" s="6">
        <f>COUNTIFS(Leads!$E$2:$E$201,"S5",Leads!$A$2:$A$201,"&lt;&gt;EJEMPLO")</f>
        <v/>
      </c>
      <c r="C9" s="6">
        <f>COUNTIFS(Leads!$E$2:$E$201,"S5",Leads!$G$2:$G$201,"Sí",Leads!$A$2:$A$201,"&lt;&gt;EJEMPLO")</f>
        <v/>
      </c>
      <c r="D9" s="6">
        <f>COUNTIFS(Leads!$E$2:$E$201,"S5",Leads!$M$2:$M$201,"Por revisar",Leads!$A$2:$A$201,"&lt;&gt;EJEMPLO")</f>
        <v/>
      </c>
      <c r="E9" s="6">
        <f>COUNTIFS(Leads!$E$2:$E$201,"S5",Leads!$M$2:$M$201,"Por contactar",Leads!$A$2:$A$201,"&lt;&gt;EJEMPLO")</f>
        <v/>
      </c>
      <c r="F9" s="6">
        <f>COUNTIFS(Leads!$E$2:$E$201,"S5",Leads!$M$2:$M$201,"Enviado",Leads!$A$2:$A$201,"&lt;&gt;EJEMPLO")</f>
        <v/>
      </c>
      <c r="G9" s="6">
        <f>COUNTIFS(Leads!$E$2:$E$201,"S5",Leads!$M$2:$M$201,"Respondió",Leads!$A$2:$A$201,"&lt;&gt;EJEMPLO")</f>
        <v/>
      </c>
      <c r="H9" s="6">
        <f>COUNTIFS(Leads!$E$2:$E$201,"S5",Leads!$M$2:$M$201,"Reunión",Leads!$A$2:$A$201,"&lt;&gt;EJEMPLO")</f>
        <v/>
      </c>
      <c r="I9" s="6">
        <f>COUNTIFS(Leads!$E$2:$E$201,"S5",Leads!$M$2:$M$201,"Cerrado",Leads!$A$2:$A$201,"&lt;&gt;EJEMPLO")</f>
        <v/>
      </c>
    </row>
    <row r="10">
      <c r="A10" s="7" t="inlineStr">
        <is>
          <t>Total</t>
        </is>
      </c>
      <c r="B10" s="7">
        <f>SUM(B5:B9)</f>
        <v/>
      </c>
      <c r="C10" s="7">
        <f>SUM(C5:C9)</f>
        <v/>
      </c>
      <c r="D10" s="7">
        <f>SUM(D5:D9)</f>
        <v/>
      </c>
      <c r="E10" s="7">
        <f>SUM(E5:E9)</f>
        <v/>
      </c>
      <c r="F10" s="7">
        <f>SUM(F5:F9)</f>
        <v/>
      </c>
      <c r="G10" s="7">
        <f>SUM(G5:G9)</f>
        <v/>
      </c>
      <c r="H10" s="7">
        <f>SUM(H5:H9)</f>
        <v/>
      </c>
      <c r="I10" s="7">
        <f>SUM(I5:I9)</f>
        <v/>
      </c>
    </row>
    <row r="12">
      <c r="A12" s="6" t="inlineStr">
        <is>
          <t>Tasa de respuesta (respondió o más / enviados)</t>
        </is>
      </c>
      <c r="B12" s="8">
        <f>IFERROR((G10+H10+I10)/(F10+G10+H10+I10),0)</f>
        <v/>
      </c>
    </row>
    <row r="13">
      <c r="A13" s="6" t="inlineStr">
        <is>
          <t>Reuniones sobre respuestas</t>
        </is>
      </c>
      <c r="B13" s="8">
        <f>IFERROR((H10+I10)/(G10+H10+I10),0)</f>
        <v/>
      </c>
    </row>
    <row r="14">
      <c r="A14" s="6" t="inlineStr">
        <is>
          <t>Palabras clave usadas / total</t>
        </is>
      </c>
      <c r="B14" s="7">
        <f>COUNTIF('Palabras clave'!E2:E88,"&lt;&gt;Pendiente")&amp;" / "&amp;COUNTA('Palabras clave'!D2:D88)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30" customWidth="1" min="4" max="4"/>
    <col width="38" customWidth="1" min="5" max="5"/>
    <col width="38" customWidth="1" min="6" max="6"/>
    <col width="34" customWidth="1" min="7" max="7"/>
    <col width="10" customWidth="1" min="8" max="8"/>
  </cols>
  <sheetData>
    <row r="1" ht="30" customHeight="1">
      <c r="A1" s="9" t="inlineStr">
        <is>
          <t>ID</t>
        </is>
      </c>
      <c r="B1" s="9" t="inlineStr">
        <is>
          <t>Segmento</t>
        </is>
      </c>
      <c r="C1" s="9" t="inlineStr">
        <is>
          <t>Qué venden</t>
        </is>
      </c>
      <c r="D1" s="9" t="inlineStr">
        <is>
          <t>Quién les compra</t>
        </is>
      </c>
      <c r="E1" s="9" t="inlineStr">
        <is>
          <t>Qué necesita ese comprador</t>
        </is>
      </c>
      <c r="F1" s="9" t="inlineStr">
        <is>
          <t>Ángulo de venta por cantidad</t>
        </is>
      </c>
      <c r="G1" s="9" t="inlineStr">
        <is>
          <t>Oferta ejemplo para su web</t>
        </is>
      </c>
      <c r="H1" s="9" t="inlineStr">
        <is>
          <t>Prioridad</t>
        </is>
      </c>
    </row>
    <row r="2" ht="62" customHeight="1">
      <c r="A2" s="10" t="inlineStr">
        <is>
          <t>S1</t>
        </is>
      </c>
      <c r="B2" s="10" t="inlineStr">
        <is>
          <t>Moda luxury hombre (reventa marcas premium)</t>
        </is>
      </c>
      <c r="C2" s="10" t="inlineStr">
        <is>
          <t>EA7, Emporio Armani, Hugo Boss, Calvin Klein, Lacoste, Polo Ralph Lauren, Nike Tech, Moschino</t>
        </is>
      </c>
      <c r="D2" s="10" t="inlineStr">
        <is>
          <t>Hombres 18–35 que compran online y quieren marca original</t>
        </is>
      </c>
      <c r="E2" s="10" t="inlineStr">
        <is>
          <t>Garantía de original, tallas claras, ver stock real sin preguntar por DM, envío rápido</t>
        </is>
      </c>
      <c r="F2" s="10" t="inlineStr">
        <is>
          <t>Conjunto completo (polerón + pantalón) o 3 poleras de distintos colores</t>
        </is>
      </c>
      <c r="G2" s="10" t="inlineStr">
        <is>
          <t>'Pack 3 poleras EA7' con descuento + envío gratis sobre $60.000</t>
        </is>
      </c>
      <c r="H2" s="10" t="inlineStr">
        <is>
          <t>A</t>
        </is>
      </c>
    </row>
    <row r="3" ht="62" customHeight="1">
      <c r="A3" s="10" t="inlineStr">
        <is>
          <t>S2</t>
        </is>
      </c>
      <c r="B3" s="10" t="inlineStr">
        <is>
          <t>Sneakers originales (reventa / permuta)</t>
        </is>
      </c>
      <c r="C3" s="10" t="inlineStr">
        <is>
          <t>Jordan, Nike Dunk, New Balance, Vans, Yeezy</t>
        </is>
      </c>
      <c r="D3" s="10" t="inlineStr">
        <is>
          <t>Hombres y mujeres 16–35, coleccionistas y fans del streetwear</t>
        </is>
      </c>
      <c r="E3" s="10" t="inlineStr">
        <is>
          <t>Autenticidad, talla exacta en cm, fotos reales, pago en abonos</t>
        </is>
      </c>
      <c r="F3" s="10" t="inlineStr">
        <is>
          <t>Zapatilla + accesorio (calcetines, gorro, limpiador) o 2 pares</t>
        </is>
      </c>
      <c r="G3" s="10" t="inlineStr">
        <is>
          <t>Combo zapatilla + kit de limpieza; abono con reserva</t>
        </is>
      </c>
      <c r="H3" s="10" t="inlineStr">
        <is>
          <t>A</t>
        </is>
      </c>
    </row>
    <row r="4" ht="62" customHeight="1">
      <c r="A4" s="10" t="inlineStr">
        <is>
          <t>S3</t>
        </is>
      </c>
      <c r="B4" s="10" t="inlineStr">
        <is>
          <t>Botas mujer para salir / carrete</t>
        </is>
      </c>
      <c r="C4" s="10" t="inlineStr">
        <is>
          <t>Botas caña alta, texanas, plataforma, bucaneras, botines</t>
        </is>
      </c>
      <c r="D4" s="10" t="inlineStr">
        <is>
          <t>Mujeres 18–30 que salen de fiesta y compran por Reels/TikTok</t>
        </is>
      </c>
      <c r="E4" s="10" t="inlineStr">
        <is>
          <t>Talla y altura de caña, cómo calza, que llegue antes del finde, combinar con outfit</t>
        </is>
      </c>
      <c r="F4" s="10" t="inlineStr">
        <is>
          <t>Mismo modelo en 2 colores, o bota + falda/top (outfit completo)</t>
        </is>
      </c>
      <c r="G4" s="10" t="inlineStr">
        <is>
          <t>'Lleva 2 pares y el segundo con 15%' + guía de tallas en cm</t>
        </is>
      </c>
      <c r="H4" s="10" t="inlineStr">
        <is>
          <t>A</t>
        </is>
      </c>
    </row>
    <row r="5" ht="62" customHeight="1">
      <c r="A5" s="10" t="inlineStr">
        <is>
          <t>S4</t>
        </is>
      </c>
      <c r="B5" s="10" t="inlineStr">
        <is>
          <t>Faldas y outfits de fiesta mujer</t>
        </is>
      </c>
      <c r="C5" s="10" t="inlineStr">
        <is>
          <t>Faldas mini, vestidos, tops, bodies, conjuntos</t>
        </is>
      </c>
      <c r="D5" s="10" t="inlineStr">
        <is>
          <t>Mujeres 18–30 que arman outfit para salir</t>
        </is>
      </c>
      <c r="E5" s="10" t="inlineStr">
        <is>
          <t>Ver el outfit completo, tallas, colores, envío rápido</t>
        </is>
      </c>
      <c r="F5" s="10" t="inlineStr">
        <is>
          <t>Outfit completo (falda + top + bota) o 3 prendas a precio pack</t>
        </is>
      </c>
      <c r="G5" s="10" t="inlineStr">
        <is>
          <t>'Arma tu outfit: 3 prendas por $X'</t>
        </is>
      </c>
      <c r="H5" s="10" t="inlineStr">
        <is>
          <t>B</t>
        </is>
      </c>
    </row>
    <row r="6" ht="62" customHeight="1">
      <c r="A6" s="10" t="inlineStr">
        <is>
          <t>S5</t>
        </is>
      </c>
      <c r="B6" s="10" t="inlineStr">
        <is>
          <t>Boutiques mujer (moda general)</t>
        </is>
      </c>
      <c r="C6" s="10" t="inlineStr">
        <is>
          <t>Ropa mujer variada, temporada, básicos</t>
        </is>
      </c>
      <c r="D6" s="10" t="inlineStr">
        <is>
          <t>Mujeres 20–45</t>
        </is>
      </c>
      <c r="E6" s="10" t="inlineStr">
        <is>
          <t>Probar tallas, cambios, ver todo el catálogo</t>
        </is>
      </c>
      <c r="F6" s="10" t="inlineStr">
        <is>
          <t>Básicos x3 (poleras, calzas) y packs de temporada</t>
        </is>
      </c>
      <c r="G6" s="10" t="inlineStr">
        <is>
          <t>'3 básicos por $X' + colección por temporada</t>
        </is>
      </c>
      <c r="H6" s="10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62" customWidth="1" min="4" max="4"/>
    <col width="12" customWidth="1" min="5" max="5"/>
    <col width="12" customWidth="1" min="6" max="6"/>
    <col width="30" customWidth="1" min="7" max="7"/>
  </cols>
  <sheetData>
    <row r="1" ht="30" customHeight="1">
      <c r="A1" s="9" t="inlineStr">
        <is>
          <t>Segmento</t>
        </is>
      </c>
      <c r="B1" s="9" t="inlineStr">
        <is>
          <t>Plataforma</t>
        </is>
      </c>
      <c r="C1" s="9" t="inlineStr">
        <is>
          <t>Tipo</t>
        </is>
      </c>
      <c r="D1" s="9" t="inlineStr">
        <is>
          <t>Palabra clave / búsqueda</t>
        </is>
      </c>
      <c r="E1" s="9" t="inlineStr">
        <is>
          <t>Estado</t>
        </is>
      </c>
      <c r="F1" s="9" t="inlineStr">
        <is>
          <t>Leads encontrados</t>
        </is>
      </c>
      <c r="G1" s="9" t="inlineStr">
        <is>
          <t>Notas</t>
        </is>
      </c>
    </row>
    <row r="2">
      <c r="A2" s="10" t="inlineStr">
        <is>
          <t>S1</t>
        </is>
      </c>
      <c r="B2" s="10" t="inlineStr">
        <is>
          <t>Instagram</t>
        </is>
      </c>
      <c r="C2" s="10" t="inlineStr">
        <is>
          <t>Hashtag</t>
        </is>
      </c>
      <c r="D2" s="10" t="inlineStr">
        <is>
          <t>#ropaoriginalchile</t>
        </is>
      </c>
      <c r="E2" s="11" t="inlineStr">
        <is>
          <t>Pendiente</t>
        </is>
      </c>
      <c r="F2" s="11" t="n"/>
      <c r="G2" s="11" t="n"/>
    </row>
    <row r="3">
      <c r="A3" s="10" t="inlineStr">
        <is>
          <t>S1</t>
        </is>
      </c>
      <c r="B3" s="10" t="inlineStr">
        <is>
          <t>Instagram</t>
        </is>
      </c>
      <c r="C3" s="10" t="inlineStr">
        <is>
          <t>Hashtag</t>
        </is>
      </c>
      <c r="D3" s="10" t="inlineStr">
        <is>
          <t>#ropademarcachile</t>
        </is>
      </c>
      <c r="E3" s="11" t="inlineStr">
        <is>
          <t>Pendiente</t>
        </is>
      </c>
      <c r="F3" s="11" t="n"/>
      <c r="G3" s="11" t="n"/>
    </row>
    <row r="4">
      <c r="A4" s="10" t="inlineStr">
        <is>
          <t>S1</t>
        </is>
      </c>
      <c r="B4" s="10" t="inlineStr">
        <is>
          <t>Instagram</t>
        </is>
      </c>
      <c r="C4" s="10" t="inlineStr">
        <is>
          <t>Hashtag</t>
        </is>
      </c>
      <c r="D4" s="10" t="inlineStr">
        <is>
          <t>#ea7chile</t>
        </is>
      </c>
      <c r="E4" s="11" t="inlineStr">
        <is>
          <t>Pendiente</t>
        </is>
      </c>
      <c r="F4" s="11" t="n"/>
      <c r="G4" s="11" t="n"/>
    </row>
    <row r="5">
      <c r="A5" s="10" t="inlineStr">
        <is>
          <t>S1</t>
        </is>
      </c>
      <c r="B5" s="10" t="inlineStr">
        <is>
          <t>Instagram</t>
        </is>
      </c>
      <c r="C5" s="10" t="inlineStr">
        <is>
          <t>Hashtag</t>
        </is>
      </c>
      <c r="D5" s="10" t="inlineStr">
        <is>
          <t>#emporioarmanichile</t>
        </is>
      </c>
      <c r="E5" s="11" t="inlineStr">
        <is>
          <t>Pendiente</t>
        </is>
      </c>
      <c r="F5" s="11" t="n"/>
      <c r="G5" s="11" t="n"/>
    </row>
    <row r="6">
      <c r="A6" s="10" t="inlineStr">
        <is>
          <t>S1</t>
        </is>
      </c>
      <c r="B6" s="10" t="inlineStr">
        <is>
          <t>Instagram</t>
        </is>
      </c>
      <c r="C6" s="10" t="inlineStr">
        <is>
          <t>Hashtag</t>
        </is>
      </c>
      <c r="D6" s="10" t="inlineStr">
        <is>
          <t>#hugobosschile</t>
        </is>
      </c>
      <c r="E6" s="11" t="inlineStr">
        <is>
          <t>Pendiente</t>
        </is>
      </c>
      <c r="F6" s="11" t="n"/>
      <c r="G6" s="11" t="n"/>
    </row>
    <row r="7">
      <c r="A7" s="10" t="inlineStr">
        <is>
          <t>S1</t>
        </is>
      </c>
      <c r="B7" s="10" t="inlineStr">
        <is>
          <t>Instagram</t>
        </is>
      </c>
      <c r="C7" s="10" t="inlineStr">
        <is>
          <t>Hashtag</t>
        </is>
      </c>
      <c r="D7" s="10" t="inlineStr">
        <is>
          <t>#calvinkleinchile</t>
        </is>
      </c>
      <c r="E7" s="11" t="inlineStr">
        <is>
          <t>Pendiente</t>
        </is>
      </c>
      <c r="F7" s="11" t="n"/>
      <c r="G7" s="11" t="n"/>
    </row>
    <row r="8">
      <c r="A8" s="10" t="inlineStr">
        <is>
          <t>S1</t>
        </is>
      </c>
      <c r="B8" s="10" t="inlineStr">
        <is>
          <t>Instagram</t>
        </is>
      </c>
      <c r="C8" s="10" t="inlineStr">
        <is>
          <t>Hashtag</t>
        </is>
      </c>
      <c r="D8" s="10" t="inlineStr">
        <is>
          <t>#lacostechile</t>
        </is>
      </c>
      <c r="E8" s="11" t="inlineStr">
        <is>
          <t>Pendiente</t>
        </is>
      </c>
      <c r="F8" s="11" t="n"/>
      <c r="G8" s="11" t="n"/>
    </row>
    <row r="9">
      <c r="A9" s="10" t="inlineStr">
        <is>
          <t>S1</t>
        </is>
      </c>
      <c r="B9" s="10" t="inlineStr">
        <is>
          <t>Instagram</t>
        </is>
      </c>
      <c r="C9" s="10" t="inlineStr">
        <is>
          <t>Hashtag</t>
        </is>
      </c>
      <c r="D9" s="10" t="inlineStr">
        <is>
          <t>#poloralphlaurenchile</t>
        </is>
      </c>
      <c r="E9" s="11" t="inlineStr">
        <is>
          <t>Pendiente</t>
        </is>
      </c>
      <c r="F9" s="11" t="n"/>
      <c r="G9" s="11" t="n"/>
    </row>
    <row r="10">
      <c r="A10" s="10" t="inlineStr">
        <is>
          <t>S1</t>
        </is>
      </c>
      <c r="B10" s="10" t="inlineStr">
        <is>
          <t>Instagram</t>
        </is>
      </c>
      <c r="C10" s="10" t="inlineStr">
        <is>
          <t>Hashtag</t>
        </is>
      </c>
      <c r="D10" s="10" t="inlineStr">
        <is>
          <t>#niketechchile</t>
        </is>
      </c>
      <c r="E10" s="11" t="inlineStr">
        <is>
          <t>Pendiente</t>
        </is>
      </c>
      <c r="F10" s="11" t="n"/>
      <c r="G10" s="11" t="n"/>
    </row>
    <row r="11">
      <c r="A11" s="10" t="inlineStr">
        <is>
          <t>S1</t>
        </is>
      </c>
      <c r="B11" s="10" t="inlineStr">
        <is>
          <t>Instagram</t>
        </is>
      </c>
      <c r="C11" s="10" t="inlineStr">
        <is>
          <t>Hashtag</t>
        </is>
      </c>
      <c r="D11" s="10" t="inlineStr">
        <is>
          <t>#outfithombrechile</t>
        </is>
      </c>
      <c r="E11" s="11" t="inlineStr">
        <is>
          <t>Pendiente</t>
        </is>
      </c>
      <c r="F11" s="11" t="n"/>
      <c r="G11" s="11" t="n"/>
    </row>
    <row r="12">
      <c r="A12" s="10" t="inlineStr">
        <is>
          <t>S1</t>
        </is>
      </c>
      <c r="B12" s="10" t="inlineStr">
        <is>
          <t>Instagram</t>
        </is>
      </c>
      <c r="C12" s="10" t="inlineStr">
        <is>
          <t>Hashtag</t>
        </is>
      </c>
      <c r="D12" s="10" t="inlineStr">
        <is>
          <t>#modamasculinachile</t>
        </is>
      </c>
      <c r="E12" s="11" t="inlineStr">
        <is>
          <t>Pendiente</t>
        </is>
      </c>
      <c r="F12" s="11" t="n"/>
      <c r="G12" s="11" t="n"/>
    </row>
    <row r="13">
      <c r="A13" s="10" t="inlineStr">
        <is>
          <t>S1</t>
        </is>
      </c>
      <c r="B13" s="10" t="inlineStr">
        <is>
          <t>Instagram</t>
        </is>
      </c>
      <c r="C13" s="10" t="inlineStr">
        <is>
          <t>Búsqueda</t>
        </is>
      </c>
      <c r="D13" s="10" t="inlineStr">
        <is>
          <t>ropa original chile</t>
        </is>
      </c>
      <c r="E13" s="11" t="inlineStr">
        <is>
          <t>Pendiente</t>
        </is>
      </c>
      <c r="F13" s="11" t="n"/>
      <c r="G13" s="11" t="n"/>
    </row>
    <row r="14">
      <c r="A14" s="10" t="inlineStr">
        <is>
          <t>S1</t>
        </is>
      </c>
      <c r="B14" s="10" t="inlineStr">
        <is>
          <t>Instagram</t>
        </is>
      </c>
      <c r="C14" s="10" t="inlineStr">
        <is>
          <t>Búsqueda</t>
        </is>
      </c>
      <c r="D14" s="10" t="inlineStr">
        <is>
          <t>marcas originales envíos todo chile</t>
        </is>
      </c>
      <c r="E14" s="11" t="inlineStr">
        <is>
          <t>Pendiente</t>
        </is>
      </c>
      <c r="F14" s="11" t="n"/>
      <c r="G14" s="11" t="n"/>
    </row>
    <row r="15">
      <c r="A15" s="10" t="inlineStr">
        <is>
          <t>S1</t>
        </is>
      </c>
      <c r="B15" s="10" t="inlineStr">
        <is>
          <t>Instagram</t>
        </is>
      </c>
      <c r="C15" s="10" t="inlineStr">
        <is>
          <t>Búsqueda</t>
        </is>
      </c>
      <c r="D15" s="10" t="inlineStr">
        <is>
          <t>EA7 original chile</t>
        </is>
      </c>
      <c r="E15" s="11" t="inlineStr">
        <is>
          <t>Pendiente</t>
        </is>
      </c>
      <c r="F15" s="11" t="n"/>
      <c r="G15" s="11" t="n"/>
    </row>
    <row r="16">
      <c r="A16" s="10" t="inlineStr">
        <is>
          <t>S1</t>
        </is>
      </c>
      <c r="B16" s="10" t="inlineStr">
        <is>
          <t>Instagram</t>
        </is>
      </c>
      <c r="C16" s="10" t="inlineStr">
        <is>
          <t>Búsqueda</t>
        </is>
      </c>
      <c r="D16" s="10" t="inlineStr">
        <is>
          <t>tienda ropa hombre chile</t>
        </is>
      </c>
      <c r="E16" s="11" t="inlineStr">
        <is>
          <t>Pendiente</t>
        </is>
      </c>
      <c r="F16" s="11" t="n"/>
      <c r="G16" s="11" t="n"/>
    </row>
    <row r="17">
      <c r="A17" s="10" t="inlineStr">
        <is>
          <t>S1</t>
        </is>
      </c>
      <c r="B17" s="10" t="inlineStr">
        <is>
          <t>TikTok</t>
        </is>
      </c>
      <c r="C17" s="10" t="inlineStr">
        <is>
          <t>Búsqueda</t>
        </is>
      </c>
      <c r="D17" s="10" t="inlineStr">
        <is>
          <t>ropa original chile</t>
        </is>
      </c>
      <c r="E17" s="11" t="inlineStr">
        <is>
          <t>Pendiente</t>
        </is>
      </c>
      <c r="F17" s="11" t="n"/>
      <c r="G17" s="11" t="n"/>
    </row>
    <row r="18">
      <c r="A18" s="10" t="inlineStr">
        <is>
          <t>S1</t>
        </is>
      </c>
      <c r="B18" s="10" t="inlineStr">
        <is>
          <t>TikTok</t>
        </is>
      </c>
      <c r="C18" s="10" t="inlineStr">
        <is>
          <t>Búsqueda</t>
        </is>
      </c>
      <c r="D18" s="10" t="inlineStr">
        <is>
          <t>EA7 chile</t>
        </is>
      </c>
      <c r="E18" s="11" t="inlineStr">
        <is>
          <t>Pendiente</t>
        </is>
      </c>
      <c r="F18" s="11" t="n"/>
      <c r="G18" s="11" t="n"/>
    </row>
    <row r="19">
      <c r="A19" s="10" t="inlineStr">
        <is>
          <t>S1</t>
        </is>
      </c>
      <c r="B19" s="10" t="inlineStr">
        <is>
          <t>TikTok</t>
        </is>
      </c>
      <c r="C19" s="10" t="inlineStr">
        <is>
          <t>Búsqueda</t>
        </is>
      </c>
      <c r="D19" s="10" t="inlineStr">
        <is>
          <t>nike tech chile</t>
        </is>
      </c>
      <c r="E19" s="11" t="inlineStr">
        <is>
          <t>Pendiente</t>
        </is>
      </c>
      <c r="F19" s="11" t="n"/>
      <c r="G19" s="11" t="n"/>
    </row>
    <row r="20">
      <c r="A20" s="10" t="inlineStr">
        <is>
          <t>S1</t>
        </is>
      </c>
      <c r="B20" s="10" t="inlineStr">
        <is>
          <t>TikTok</t>
        </is>
      </c>
      <c r="C20" s="10" t="inlineStr">
        <is>
          <t>Búsqueda</t>
        </is>
      </c>
      <c r="D20" s="10" t="inlineStr">
        <is>
          <t>outfit hombre chile marcas</t>
        </is>
      </c>
      <c r="E20" s="11" t="inlineStr">
        <is>
          <t>Pendiente</t>
        </is>
      </c>
      <c r="F20" s="11" t="n"/>
      <c r="G20" s="11" t="n"/>
    </row>
    <row r="21">
      <c r="A21" s="10" t="inlineStr">
        <is>
          <t>S1</t>
        </is>
      </c>
      <c r="B21" s="10" t="inlineStr">
        <is>
          <t>Google</t>
        </is>
      </c>
      <c r="C21" s="10" t="inlineStr">
        <is>
          <t>Operador</t>
        </is>
      </c>
      <c r="D21" s="10" t="inlineStr">
        <is>
          <t>site:instagram.com "ropa original" "envíos a todo Chile"</t>
        </is>
      </c>
      <c r="E21" s="11" t="inlineStr">
        <is>
          <t>Pendiente</t>
        </is>
      </c>
      <c r="F21" s="11" t="n"/>
      <c r="G21" s="11" t="n"/>
    </row>
    <row r="22">
      <c r="A22" s="10" t="inlineStr">
        <is>
          <t>S1</t>
        </is>
      </c>
      <c r="B22" s="10" t="inlineStr">
        <is>
          <t>Google</t>
        </is>
      </c>
      <c r="C22" s="10" t="inlineStr">
        <is>
          <t>Operador</t>
        </is>
      </c>
      <c r="D22" s="10" t="inlineStr">
        <is>
          <t>site:instagram.com "EA7" "Chile" "pedidos"</t>
        </is>
      </c>
      <c r="E22" s="11" t="inlineStr">
        <is>
          <t>Pendiente</t>
        </is>
      </c>
      <c r="F22" s="11" t="n"/>
      <c r="G22" s="11" t="n"/>
    </row>
    <row r="23">
      <c r="A23" s="10" t="inlineStr">
        <is>
          <t>S1</t>
        </is>
      </c>
      <c r="B23" s="10" t="inlineStr">
        <is>
          <t>Google</t>
        </is>
      </c>
      <c r="C23" s="10" t="inlineStr">
        <is>
          <t>Operador</t>
        </is>
      </c>
      <c r="D23" s="10" t="inlineStr">
        <is>
          <t>site:instagram.com "originales" "starken" hombre</t>
        </is>
      </c>
      <c r="E23" s="11" t="inlineStr">
        <is>
          <t>Pendiente</t>
        </is>
      </c>
      <c r="F23" s="11" t="n"/>
      <c r="G23" s="11" t="n"/>
    </row>
    <row r="24">
      <c r="A24" s="10" t="inlineStr">
        <is>
          <t>S1</t>
        </is>
      </c>
      <c r="B24" s="10" t="inlineStr">
        <is>
          <t>Google</t>
        </is>
      </c>
      <c r="C24" s="10" t="inlineStr">
        <is>
          <t>Operador</t>
        </is>
      </c>
      <c r="D24" s="10" t="inlineStr">
        <is>
          <t>site:instagram.com "ropa de marca" "+569"</t>
        </is>
      </c>
      <c r="E24" s="11" t="inlineStr">
        <is>
          <t>Pendiente</t>
        </is>
      </c>
      <c r="F24" s="11" t="n"/>
      <c r="G24" s="11" t="n"/>
    </row>
    <row r="25">
      <c r="A25" s="10" t="inlineStr">
        <is>
          <t>S2</t>
        </is>
      </c>
      <c r="B25" s="10" t="inlineStr">
        <is>
          <t>Instagram</t>
        </is>
      </c>
      <c r="C25" s="10" t="inlineStr">
        <is>
          <t>Hashtag</t>
        </is>
      </c>
      <c r="D25" s="10" t="inlineStr">
        <is>
          <t>#sneakerschile</t>
        </is>
      </c>
      <c r="E25" s="11" t="inlineStr">
        <is>
          <t>Pendiente</t>
        </is>
      </c>
      <c r="F25" s="11" t="n"/>
      <c r="G25" s="11" t="n"/>
    </row>
    <row r="26">
      <c r="A26" s="10" t="inlineStr">
        <is>
          <t>S2</t>
        </is>
      </c>
      <c r="B26" s="10" t="inlineStr">
        <is>
          <t>Instagram</t>
        </is>
      </c>
      <c r="C26" s="10" t="inlineStr">
        <is>
          <t>Hashtag</t>
        </is>
      </c>
      <c r="D26" s="10" t="inlineStr">
        <is>
          <t>#zapatillaschile</t>
        </is>
      </c>
      <c r="E26" s="11" t="inlineStr">
        <is>
          <t>Pendiente</t>
        </is>
      </c>
      <c r="F26" s="11" t="n"/>
      <c r="G26" s="11" t="n"/>
    </row>
    <row r="27">
      <c r="A27" s="10" t="inlineStr">
        <is>
          <t>S2</t>
        </is>
      </c>
      <c r="B27" s="10" t="inlineStr">
        <is>
          <t>Instagram</t>
        </is>
      </c>
      <c r="C27" s="10" t="inlineStr">
        <is>
          <t>Hashtag</t>
        </is>
      </c>
      <c r="D27" s="10" t="inlineStr">
        <is>
          <t>#jordanchile</t>
        </is>
      </c>
      <c r="E27" s="11" t="inlineStr">
        <is>
          <t>Pendiente</t>
        </is>
      </c>
      <c r="F27" s="11" t="n"/>
      <c r="G27" s="11" t="n"/>
    </row>
    <row r="28">
      <c r="A28" s="10" t="inlineStr">
        <is>
          <t>S2</t>
        </is>
      </c>
      <c r="B28" s="10" t="inlineStr">
        <is>
          <t>Instagram</t>
        </is>
      </c>
      <c r="C28" s="10" t="inlineStr">
        <is>
          <t>Hashtag</t>
        </is>
      </c>
      <c r="D28" s="10" t="inlineStr">
        <is>
          <t>#sneakersoriginaleschile</t>
        </is>
      </c>
      <c r="E28" s="11" t="inlineStr">
        <is>
          <t>Pendiente</t>
        </is>
      </c>
      <c r="F28" s="11" t="n"/>
      <c r="G28" s="11" t="n"/>
    </row>
    <row r="29">
      <c r="A29" s="10" t="inlineStr">
        <is>
          <t>S2</t>
        </is>
      </c>
      <c r="B29" s="10" t="inlineStr">
        <is>
          <t>Instagram</t>
        </is>
      </c>
      <c r="C29" s="10" t="inlineStr">
        <is>
          <t>Hashtag</t>
        </is>
      </c>
      <c r="D29" s="10" t="inlineStr">
        <is>
          <t>#dunkchile</t>
        </is>
      </c>
      <c r="E29" s="11" t="inlineStr">
        <is>
          <t>Pendiente</t>
        </is>
      </c>
      <c r="F29" s="11" t="n"/>
      <c r="G29" s="11" t="n"/>
    </row>
    <row r="30">
      <c r="A30" s="10" t="inlineStr">
        <is>
          <t>S2</t>
        </is>
      </c>
      <c r="B30" s="10" t="inlineStr">
        <is>
          <t>Instagram</t>
        </is>
      </c>
      <c r="C30" s="10" t="inlineStr">
        <is>
          <t>Hashtag</t>
        </is>
      </c>
      <c r="D30" s="10" t="inlineStr">
        <is>
          <t>#reventachile</t>
        </is>
      </c>
      <c r="E30" s="11" t="inlineStr">
        <is>
          <t>Pendiente</t>
        </is>
      </c>
      <c r="F30" s="11" t="n"/>
      <c r="G30" s="11" t="n"/>
    </row>
    <row r="31">
      <c r="A31" s="10" t="inlineStr">
        <is>
          <t>S2</t>
        </is>
      </c>
      <c r="B31" s="10" t="inlineStr">
        <is>
          <t>Instagram</t>
        </is>
      </c>
      <c r="C31" s="10" t="inlineStr">
        <is>
          <t>Hashtag</t>
        </is>
      </c>
      <c r="D31" s="10" t="inlineStr">
        <is>
          <t>#sneakerheadchile</t>
        </is>
      </c>
      <c r="E31" s="11" t="inlineStr">
        <is>
          <t>Pendiente</t>
        </is>
      </c>
      <c r="F31" s="11" t="n"/>
      <c r="G31" s="11" t="n"/>
    </row>
    <row r="32">
      <c r="A32" s="10" t="inlineStr">
        <is>
          <t>S2</t>
        </is>
      </c>
      <c r="B32" s="10" t="inlineStr">
        <is>
          <t>Instagram</t>
        </is>
      </c>
      <c r="C32" s="10" t="inlineStr">
        <is>
          <t>Búsqueda</t>
        </is>
      </c>
      <c r="D32" s="10" t="inlineStr">
        <is>
          <t>sneakers originales chile</t>
        </is>
      </c>
      <c r="E32" s="11" t="inlineStr">
        <is>
          <t>Pendiente</t>
        </is>
      </c>
      <c r="F32" s="11" t="n"/>
      <c r="G32" s="11" t="n"/>
    </row>
    <row r="33">
      <c r="A33" s="10" t="inlineStr">
        <is>
          <t>S2</t>
        </is>
      </c>
      <c r="B33" s="10" t="inlineStr">
        <is>
          <t>Instagram</t>
        </is>
      </c>
      <c r="C33" s="10" t="inlineStr">
        <is>
          <t>Búsqueda</t>
        </is>
      </c>
      <c r="D33" s="10" t="inlineStr">
        <is>
          <t>compra venta permuta zapatillas</t>
        </is>
      </c>
      <c r="E33" s="11" t="inlineStr">
        <is>
          <t>Pendiente</t>
        </is>
      </c>
      <c r="F33" s="11" t="n"/>
      <c r="G33" s="11" t="n"/>
    </row>
    <row r="34">
      <c r="A34" s="10" t="inlineStr">
        <is>
          <t>S2</t>
        </is>
      </c>
      <c r="B34" s="10" t="inlineStr">
        <is>
          <t>Instagram</t>
        </is>
      </c>
      <c r="C34" s="10" t="inlineStr">
        <is>
          <t>Búsqueda</t>
        </is>
      </c>
      <c r="D34" s="10" t="inlineStr">
        <is>
          <t>zapatillas originales envíos todo chile</t>
        </is>
      </c>
      <c r="E34" s="11" t="inlineStr">
        <is>
          <t>Pendiente</t>
        </is>
      </c>
      <c r="F34" s="11" t="n"/>
      <c r="G34" s="11" t="n"/>
    </row>
    <row r="35">
      <c r="A35" s="10" t="inlineStr">
        <is>
          <t>S2</t>
        </is>
      </c>
      <c r="B35" s="10" t="inlineStr">
        <is>
          <t>TikTok</t>
        </is>
      </c>
      <c r="C35" s="10" t="inlineStr">
        <is>
          <t>Búsqueda</t>
        </is>
      </c>
      <c r="D35" s="10" t="inlineStr">
        <is>
          <t>sneakers chile</t>
        </is>
      </c>
      <c r="E35" s="11" t="inlineStr">
        <is>
          <t>Pendiente</t>
        </is>
      </c>
      <c r="F35" s="11" t="n"/>
      <c r="G35" s="11" t="n"/>
    </row>
    <row r="36">
      <c r="A36" s="10" t="inlineStr">
        <is>
          <t>S2</t>
        </is>
      </c>
      <c r="B36" s="10" t="inlineStr">
        <is>
          <t>TikTok</t>
        </is>
      </c>
      <c r="C36" s="10" t="inlineStr">
        <is>
          <t>Búsqueda</t>
        </is>
      </c>
      <c r="D36" s="10" t="inlineStr">
        <is>
          <t>jordan originales chile</t>
        </is>
      </c>
      <c r="E36" s="11" t="inlineStr">
        <is>
          <t>Pendiente</t>
        </is>
      </c>
      <c r="F36" s="11" t="n"/>
      <c r="G36" s="11" t="n"/>
    </row>
    <row r="37">
      <c r="A37" s="10" t="inlineStr">
        <is>
          <t>S2</t>
        </is>
      </c>
      <c r="B37" s="10" t="inlineStr">
        <is>
          <t>TikTok</t>
        </is>
      </c>
      <c r="C37" s="10" t="inlineStr">
        <is>
          <t>Búsqueda</t>
        </is>
      </c>
      <c r="D37" s="10" t="inlineStr">
        <is>
          <t>reventa zapatillas chile</t>
        </is>
      </c>
      <c r="E37" s="11" t="inlineStr">
        <is>
          <t>Pendiente</t>
        </is>
      </c>
      <c r="F37" s="11" t="n"/>
      <c r="G37" s="11" t="n"/>
    </row>
    <row r="38">
      <c r="A38" s="10" t="inlineStr">
        <is>
          <t>S2</t>
        </is>
      </c>
      <c r="B38" s="10" t="inlineStr">
        <is>
          <t>Google</t>
        </is>
      </c>
      <c r="C38" s="10" t="inlineStr">
        <is>
          <t>Operador</t>
        </is>
      </c>
      <c r="D38" s="10" t="inlineStr">
        <is>
          <t>site:instagram.com "sneakers" "envíos a todo Chile"</t>
        </is>
      </c>
      <c r="E38" s="11" t="inlineStr">
        <is>
          <t>Pendiente</t>
        </is>
      </c>
      <c r="F38" s="11" t="n"/>
      <c r="G38" s="11" t="n"/>
    </row>
    <row r="39">
      <c r="A39" s="10" t="inlineStr">
        <is>
          <t>S2</t>
        </is>
      </c>
      <c r="B39" s="10" t="inlineStr">
        <is>
          <t>Google</t>
        </is>
      </c>
      <c r="C39" s="10" t="inlineStr">
        <is>
          <t>Operador</t>
        </is>
      </c>
      <c r="D39" s="10" t="inlineStr">
        <is>
          <t>site:instagram.com "compra venta permuta" zapatillas Chile</t>
        </is>
      </c>
      <c r="E39" s="11" t="inlineStr">
        <is>
          <t>Pendiente</t>
        </is>
      </c>
      <c r="F39" s="11" t="n"/>
      <c r="G39" s="11" t="n"/>
    </row>
    <row r="40">
      <c r="A40" s="10" t="inlineStr">
        <is>
          <t>S2</t>
        </is>
      </c>
      <c r="B40" s="10" t="inlineStr">
        <is>
          <t>Google</t>
        </is>
      </c>
      <c r="C40" s="10" t="inlineStr">
        <is>
          <t>Operador</t>
        </is>
      </c>
      <c r="D40" s="10" t="inlineStr">
        <is>
          <t>site:instagram.com "no vendo fake" Chile</t>
        </is>
      </c>
      <c r="E40" s="11" t="inlineStr">
        <is>
          <t>Pendiente</t>
        </is>
      </c>
      <c r="F40" s="11" t="n"/>
      <c r="G40" s="11" t="n"/>
    </row>
    <row r="41">
      <c r="A41" s="10" t="inlineStr">
        <is>
          <t>S3</t>
        </is>
      </c>
      <c r="B41" s="10" t="inlineStr">
        <is>
          <t>Instagram</t>
        </is>
      </c>
      <c r="C41" s="10" t="inlineStr">
        <is>
          <t>Hashtag</t>
        </is>
      </c>
      <c r="D41" s="10" t="inlineStr">
        <is>
          <t>#botaschile</t>
        </is>
      </c>
      <c r="E41" s="11" t="inlineStr">
        <is>
          <t>Pendiente</t>
        </is>
      </c>
      <c r="F41" s="11" t="n"/>
      <c r="G41" s="11" t="n"/>
    </row>
    <row r="42">
      <c r="A42" s="10" t="inlineStr">
        <is>
          <t>S3</t>
        </is>
      </c>
      <c r="B42" s="10" t="inlineStr">
        <is>
          <t>Instagram</t>
        </is>
      </c>
      <c r="C42" s="10" t="inlineStr">
        <is>
          <t>Hashtag</t>
        </is>
      </c>
      <c r="D42" s="10" t="inlineStr">
        <is>
          <t>#botasmujerchile</t>
        </is>
      </c>
      <c r="E42" s="11" t="inlineStr">
        <is>
          <t>Pendiente</t>
        </is>
      </c>
      <c r="F42" s="11" t="n"/>
      <c r="G42" s="11" t="n"/>
    </row>
    <row r="43">
      <c r="A43" s="10" t="inlineStr">
        <is>
          <t>S3</t>
        </is>
      </c>
      <c r="B43" s="10" t="inlineStr">
        <is>
          <t>Instagram</t>
        </is>
      </c>
      <c r="C43" s="10" t="inlineStr">
        <is>
          <t>Hashtag</t>
        </is>
      </c>
      <c r="D43" s="10" t="inlineStr">
        <is>
          <t>#botascañaalta</t>
        </is>
      </c>
      <c r="E43" s="11" t="inlineStr">
        <is>
          <t>Pendiente</t>
        </is>
      </c>
      <c r="F43" s="11" t="n"/>
      <c r="G43" s="11" t="n"/>
    </row>
    <row r="44">
      <c r="A44" s="10" t="inlineStr">
        <is>
          <t>S3</t>
        </is>
      </c>
      <c r="B44" s="10" t="inlineStr">
        <is>
          <t>Instagram</t>
        </is>
      </c>
      <c r="C44" s="10" t="inlineStr">
        <is>
          <t>Hashtag</t>
        </is>
      </c>
      <c r="D44" s="10" t="inlineStr">
        <is>
          <t>#botastexanaschile</t>
        </is>
      </c>
      <c r="E44" s="11" t="inlineStr">
        <is>
          <t>Pendiente</t>
        </is>
      </c>
      <c r="F44" s="11" t="n"/>
      <c r="G44" s="11" t="n"/>
    </row>
    <row r="45">
      <c r="A45" s="10" t="inlineStr">
        <is>
          <t>S3</t>
        </is>
      </c>
      <c r="B45" s="10" t="inlineStr">
        <is>
          <t>Instagram</t>
        </is>
      </c>
      <c r="C45" s="10" t="inlineStr">
        <is>
          <t>Hashtag</t>
        </is>
      </c>
      <c r="D45" s="10" t="inlineStr">
        <is>
          <t>#botasplataforma</t>
        </is>
      </c>
      <c r="E45" s="11" t="inlineStr">
        <is>
          <t>Pendiente</t>
        </is>
      </c>
      <c r="F45" s="11" t="n"/>
      <c r="G45" s="11" t="n"/>
    </row>
    <row r="46">
      <c r="A46" s="10" t="inlineStr">
        <is>
          <t>S3</t>
        </is>
      </c>
      <c r="B46" s="10" t="inlineStr">
        <is>
          <t>Instagram</t>
        </is>
      </c>
      <c r="C46" s="10" t="inlineStr">
        <is>
          <t>Hashtag</t>
        </is>
      </c>
      <c r="D46" s="10" t="inlineStr">
        <is>
          <t>#calzadomujerchile</t>
        </is>
      </c>
      <c r="E46" s="11" t="inlineStr">
        <is>
          <t>Pendiente</t>
        </is>
      </c>
      <c r="F46" s="11" t="n"/>
      <c r="G46" s="11" t="n"/>
    </row>
    <row r="47">
      <c r="A47" s="10" t="inlineStr">
        <is>
          <t>S3</t>
        </is>
      </c>
      <c r="B47" s="10" t="inlineStr">
        <is>
          <t>Instagram</t>
        </is>
      </c>
      <c r="C47" s="10" t="inlineStr">
        <is>
          <t>Hashtag</t>
        </is>
      </c>
      <c r="D47" s="10" t="inlineStr">
        <is>
          <t>#botinesmujerchile</t>
        </is>
      </c>
      <c r="E47" s="11" t="inlineStr">
        <is>
          <t>Pendiente</t>
        </is>
      </c>
      <c r="F47" s="11" t="n"/>
      <c r="G47" s="11" t="n"/>
    </row>
    <row r="48">
      <c r="A48" s="10" t="inlineStr">
        <is>
          <t>S3</t>
        </is>
      </c>
      <c r="B48" s="10" t="inlineStr">
        <is>
          <t>Instagram</t>
        </is>
      </c>
      <c r="C48" s="10" t="inlineStr">
        <is>
          <t>Hashtag</t>
        </is>
      </c>
      <c r="D48" s="10" t="inlineStr">
        <is>
          <t>#zapatosmujerchile</t>
        </is>
      </c>
      <c r="E48" s="11" t="inlineStr">
        <is>
          <t>Pendiente</t>
        </is>
      </c>
      <c r="F48" s="11" t="n"/>
      <c r="G48" s="11" t="n"/>
    </row>
    <row r="49">
      <c r="A49" s="10" t="inlineStr">
        <is>
          <t>S3</t>
        </is>
      </c>
      <c r="B49" s="10" t="inlineStr">
        <is>
          <t>Instagram</t>
        </is>
      </c>
      <c r="C49" s="10" t="inlineStr">
        <is>
          <t>Búsqueda</t>
        </is>
      </c>
      <c r="D49" s="10" t="inlineStr">
        <is>
          <t>botas mujer chile</t>
        </is>
      </c>
      <c r="E49" s="11" t="inlineStr">
        <is>
          <t>Pendiente</t>
        </is>
      </c>
      <c r="F49" s="11" t="n"/>
      <c r="G49" s="11" t="n"/>
    </row>
    <row r="50">
      <c r="A50" s="10" t="inlineStr">
        <is>
          <t>S3</t>
        </is>
      </c>
      <c r="B50" s="10" t="inlineStr">
        <is>
          <t>Instagram</t>
        </is>
      </c>
      <c r="C50" s="10" t="inlineStr">
        <is>
          <t>Búsqueda</t>
        </is>
      </c>
      <c r="D50" s="10" t="inlineStr">
        <is>
          <t>botas caña alta chile</t>
        </is>
      </c>
      <c r="E50" s="11" t="inlineStr">
        <is>
          <t>Pendiente</t>
        </is>
      </c>
      <c r="F50" s="11" t="n"/>
      <c r="G50" s="11" t="n"/>
    </row>
    <row r="51">
      <c r="A51" s="10" t="inlineStr">
        <is>
          <t>S3</t>
        </is>
      </c>
      <c r="B51" s="10" t="inlineStr">
        <is>
          <t>Instagram</t>
        </is>
      </c>
      <c r="C51" s="10" t="inlineStr">
        <is>
          <t>Búsqueda</t>
        </is>
      </c>
      <c r="D51" s="10" t="inlineStr">
        <is>
          <t>botas para salir</t>
        </is>
      </c>
      <c r="E51" s="11" t="inlineStr">
        <is>
          <t>Pendiente</t>
        </is>
      </c>
      <c r="F51" s="11" t="n"/>
      <c r="G51" s="11" t="n"/>
    </row>
    <row r="52">
      <c r="A52" s="10" t="inlineStr">
        <is>
          <t>S3</t>
        </is>
      </c>
      <c r="B52" s="10" t="inlineStr">
        <is>
          <t>Instagram</t>
        </is>
      </c>
      <c r="C52" s="10" t="inlineStr">
        <is>
          <t>Búsqueda</t>
        </is>
      </c>
      <c r="D52" s="10" t="inlineStr">
        <is>
          <t>botas texanas envíos todo chile</t>
        </is>
      </c>
      <c r="E52" s="11" t="inlineStr">
        <is>
          <t>Pendiente</t>
        </is>
      </c>
      <c r="F52" s="11" t="n"/>
      <c r="G52" s="11" t="n"/>
    </row>
    <row r="53">
      <c r="A53" s="10" t="inlineStr">
        <is>
          <t>S3</t>
        </is>
      </c>
      <c r="B53" s="10" t="inlineStr">
        <is>
          <t>TikTok</t>
        </is>
      </c>
      <c r="C53" s="10" t="inlineStr">
        <is>
          <t>Búsqueda</t>
        </is>
      </c>
      <c r="D53" s="10" t="inlineStr">
        <is>
          <t>botas mujer chile</t>
        </is>
      </c>
      <c r="E53" s="11" t="inlineStr">
        <is>
          <t>Pendiente</t>
        </is>
      </c>
      <c r="F53" s="11" t="n"/>
      <c r="G53" s="11" t="n"/>
    </row>
    <row r="54">
      <c r="A54" s="10" t="inlineStr">
        <is>
          <t>S3</t>
        </is>
      </c>
      <c r="B54" s="10" t="inlineStr">
        <is>
          <t>TikTok</t>
        </is>
      </c>
      <c r="C54" s="10" t="inlineStr">
        <is>
          <t>Búsqueda</t>
        </is>
      </c>
      <c r="D54" s="10" t="inlineStr">
        <is>
          <t>botas para el carrete</t>
        </is>
      </c>
      <c r="E54" s="11" t="inlineStr">
        <is>
          <t>Pendiente</t>
        </is>
      </c>
      <c r="F54" s="11" t="n"/>
      <c r="G54" s="11" t="n"/>
    </row>
    <row r="55">
      <c r="A55" s="10" t="inlineStr">
        <is>
          <t>S3</t>
        </is>
      </c>
      <c r="B55" s="10" t="inlineStr">
        <is>
          <t>TikTok</t>
        </is>
      </c>
      <c r="C55" s="10" t="inlineStr">
        <is>
          <t>Búsqueda</t>
        </is>
      </c>
      <c r="D55" s="10" t="inlineStr">
        <is>
          <t>botas caña alta chile</t>
        </is>
      </c>
      <c r="E55" s="11" t="inlineStr">
        <is>
          <t>Pendiente</t>
        </is>
      </c>
      <c r="F55" s="11" t="n"/>
      <c r="G55" s="11" t="n"/>
    </row>
    <row r="56">
      <c r="A56" s="10" t="inlineStr">
        <is>
          <t>S3</t>
        </is>
      </c>
      <c r="B56" s="10" t="inlineStr">
        <is>
          <t>TikTok</t>
        </is>
      </c>
      <c r="C56" s="10" t="inlineStr">
        <is>
          <t>Búsqueda</t>
        </is>
      </c>
      <c r="D56" s="10" t="inlineStr">
        <is>
          <t>haul botas chile</t>
        </is>
      </c>
      <c r="E56" s="11" t="inlineStr">
        <is>
          <t>Pendiente</t>
        </is>
      </c>
      <c r="F56" s="11" t="n"/>
      <c r="G56" s="11" t="n"/>
    </row>
    <row r="57">
      <c r="A57" s="10" t="inlineStr">
        <is>
          <t>S3</t>
        </is>
      </c>
      <c r="B57" s="10" t="inlineStr">
        <is>
          <t>TikTok</t>
        </is>
      </c>
      <c r="C57" s="10" t="inlineStr">
        <is>
          <t>Búsqueda</t>
        </is>
      </c>
      <c r="D57" s="10" t="inlineStr">
        <is>
          <t>botas plataforma chile</t>
        </is>
      </c>
      <c r="E57" s="11" t="inlineStr">
        <is>
          <t>Pendiente</t>
        </is>
      </c>
      <c r="F57" s="11" t="n"/>
      <c r="G57" s="11" t="n"/>
    </row>
    <row r="58">
      <c r="A58" s="10" t="inlineStr">
        <is>
          <t>S3</t>
        </is>
      </c>
      <c r="B58" s="10" t="inlineStr">
        <is>
          <t>Google</t>
        </is>
      </c>
      <c r="C58" s="10" t="inlineStr">
        <is>
          <t>Operador</t>
        </is>
      </c>
      <c r="D58" s="10" t="inlineStr">
        <is>
          <t>site:instagram.com "botas" "envíos a todo Chile"</t>
        </is>
      </c>
      <c r="E58" s="11" t="inlineStr">
        <is>
          <t>Pendiente</t>
        </is>
      </c>
      <c r="F58" s="11" t="n"/>
      <c r="G58" s="11" t="n"/>
    </row>
    <row r="59">
      <c r="A59" s="10" t="inlineStr">
        <is>
          <t>S3</t>
        </is>
      </c>
      <c r="B59" s="10" t="inlineStr">
        <is>
          <t>Google</t>
        </is>
      </c>
      <c r="C59" s="10" t="inlineStr">
        <is>
          <t>Operador</t>
        </is>
      </c>
      <c r="D59" s="10" t="inlineStr">
        <is>
          <t>site:instagram.com "botas" "pedidos al DM" Chile</t>
        </is>
      </c>
      <c r="E59" s="11" t="inlineStr">
        <is>
          <t>Pendiente</t>
        </is>
      </c>
      <c r="F59" s="11" t="n"/>
      <c r="G59" s="11" t="n"/>
    </row>
    <row r="60">
      <c r="A60" s="10" t="inlineStr">
        <is>
          <t>S3</t>
        </is>
      </c>
      <c r="B60" s="10" t="inlineStr">
        <is>
          <t>Google</t>
        </is>
      </c>
      <c r="C60" s="10" t="inlineStr">
        <is>
          <t>Operador</t>
        </is>
      </c>
      <c r="D60" s="10" t="inlineStr">
        <is>
          <t>site:instagram.com "calzado mujer" "+569"</t>
        </is>
      </c>
      <c r="E60" s="11" t="inlineStr">
        <is>
          <t>Pendiente</t>
        </is>
      </c>
      <c r="F60" s="11" t="n"/>
      <c r="G60" s="11" t="n"/>
    </row>
    <row r="61">
      <c r="A61" s="10" t="inlineStr">
        <is>
          <t>S3</t>
        </is>
      </c>
      <c r="B61" s="10" t="inlineStr">
        <is>
          <t>Google</t>
        </is>
      </c>
      <c r="C61" s="10" t="inlineStr">
        <is>
          <t>Operador</t>
        </is>
      </c>
      <c r="D61" s="10" t="inlineStr">
        <is>
          <t>site:tiktok.com botas mujer Chile tienda</t>
        </is>
      </c>
      <c r="E61" s="11" t="inlineStr">
        <is>
          <t>Pendiente</t>
        </is>
      </c>
      <c r="F61" s="11" t="n"/>
      <c r="G61" s="11" t="n"/>
    </row>
    <row r="62">
      <c r="A62" s="10" t="inlineStr">
        <is>
          <t>S4</t>
        </is>
      </c>
      <c r="B62" s="10" t="inlineStr">
        <is>
          <t>Instagram</t>
        </is>
      </c>
      <c r="C62" s="10" t="inlineStr">
        <is>
          <t>Hashtag</t>
        </is>
      </c>
      <c r="D62" s="10" t="inlineStr">
        <is>
          <t>#faldaschile</t>
        </is>
      </c>
      <c r="E62" s="11" t="inlineStr">
        <is>
          <t>Pendiente</t>
        </is>
      </c>
      <c r="F62" s="11" t="n"/>
      <c r="G62" s="11" t="n"/>
    </row>
    <row r="63">
      <c r="A63" s="10" t="inlineStr">
        <is>
          <t>S4</t>
        </is>
      </c>
      <c r="B63" s="10" t="inlineStr">
        <is>
          <t>Instagram</t>
        </is>
      </c>
      <c r="C63" s="10" t="inlineStr">
        <is>
          <t>Hashtag</t>
        </is>
      </c>
      <c r="D63" s="10" t="inlineStr">
        <is>
          <t>#ropafiestachile</t>
        </is>
      </c>
      <c r="E63" s="11" t="inlineStr">
        <is>
          <t>Pendiente</t>
        </is>
      </c>
      <c r="F63" s="11" t="n"/>
      <c r="G63" s="11" t="n"/>
    </row>
    <row r="64">
      <c r="A64" s="10" t="inlineStr">
        <is>
          <t>S4</t>
        </is>
      </c>
      <c r="B64" s="10" t="inlineStr">
        <is>
          <t>Instagram</t>
        </is>
      </c>
      <c r="C64" s="10" t="inlineStr">
        <is>
          <t>Hashtag</t>
        </is>
      </c>
      <c r="D64" s="10" t="inlineStr">
        <is>
          <t>#outfitcarrete</t>
        </is>
      </c>
      <c r="E64" s="11" t="inlineStr">
        <is>
          <t>Pendiente</t>
        </is>
      </c>
      <c r="F64" s="11" t="n"/>
      <c r="G64" s="11" t="n"/>
    </row>
    <row r="65">
      <c r="A65" s="10" t="inlineStr">
        <is>
          <t>S4</t>
        </is>
      </c>
      <c r="B65" s="10" t="inlineStr">
        <is>
          <t>Instagram</t>
        </is>
      </c>
      <c r="C65" s="10" t="inlineStr">
        <is>
          <t>Hashtag</t>
        </is>
      </c>
      <c r="D65" s="10" t="inlineStr">
        <is>
          <t>#vestidosfiestachile</t>
        </is>
      </c>
      <c r="E65" s="11" t="inlineStr">
        <is>
          <t>Pendiente</t>
        </is>
      </c>
      <c r="F65" s="11" t="n"/>
      <c r="G65" s="11" t="n"/>
    </row>
    <row r="66">
      <c r="A66" s="10" t="inlineStr">
        <is>
          <t>S4</t>
        </is>
      </c>
      <c r="B66" s="10" t="inlineStr">
        <is>
          <t>Instagram</t>
        </is>
      </c>
      <c r="C66" s="10" t="inlineStr">
        <is>
          <t>Hashtag</t>
        </is>
      </c>
      <c r="D66" s="10" t="inlineStr">
        <is>
          <t>#ropamujerchile</t>
        </is>
      </c>
      <c r="E66" s="11" t="inlineStr">
        <is>
          <t>Pendiente</t>
        </is>
      </c>
      <c r="F66" s="11" t="n"/>
      <c r="G66" s="11" t="n"/>
    </row>
    <row r="67">
      <c r="A67" s="10" t="inlineStr">
        <is>
          <t>S4</t>
        </is>
      </c>
      <c r="B67" s="10" t="inlineStr">
        <is>
          <t>Instagram</t>
        </is>
      </c>
      <c r="C67" s="10" t="inlineStr">
        <is>
          <t>Hashtag</t>
        </is>
      </c>
      <c r="D67" s="10" t="inlineStr">
        <is>
          <t>#topsmujerchile</t>
        </is>
      </c>
      <c r="E67" s="11" t="inlineStr">
        <is>
          <t>Pendiente</t>
        </is>
      </c>
      <c r="F67" s="11" t="n"/>
      <c r="G67" s="11" t="n"/>
    </row>
    <row r="68">
      <c r="A68" s="10" t="inlineStr">
        <is>
          <t>S4</t>
        </is>
      </c>
      <c r="B68" s="10" t="inlineStr">
        <is>
          <t>Instagram</t>
        </is>
      </c>
      <c r="C68" s="10" t="inlineStr">
        <is>
          <t>Hashtag</t>
        </is>
      </c>
      <c r="D68" s="10" t="inlineStr">
        <is>
          <t>#conjuntosmujerchile</t>
        </is>
      </c>
      <c r="E68" s="11" t="inlineStr">
        <is>
          <t>Pendiente</t>
        </is>
      </c>
      <c r="F68" s="11" t="n"/>
      <c r="G68" s="11" t="n"/>
    </row>
    <row r="69">
      <c r="A69" s="10" t="inlineStr">
        <is>
          <t>S4</t>
        </is>
      </c>
      <c r="B69" s="10" t="inlineStr">
        <is>
          <t>Instagram</t>
        </is>
      </c>
      <c r="C69" s="10" t="inlineStr">
        <is>
          <t>Búsqueda</t>
        </is>
      </c>
      <c r="D69" s="10" t="inlineStr">
        <is>
          <t>ropa para salir chile</t>
        </is>
      </c>
      <c r="E69" s="11" t="inlineStr">
        <is>
          <t>Pendiente</t>
        </is>
      </c>
      <c r="F69" s="11" t="n"/>
      <c r="G69" s="11" t="n"/>
    </row>
    <row r="70">
      <c r="A70" s="10" t="inlineStr">
        <is>
          <t>S4</t>
        </is>
      </c>
      <c r="B70" s="10" t="inlineStr">
        <is>
          <t>Instagram</t>
        </is>
      </c>
      <c r="C70" s="10" t="inlineStr">
        <is>
          <t>Búsqueda</t>
        </is>
      </c>
      <c r="D70" s="10" t="inlineStr">
        <is>
          <t>faldas mini chile</t>
        </is>
      </c>
      <c r="E70" s="11" t="inlineStr">
        <is>
          <t>Pendiente</t>
        </is>
      </c>
      <c r="F70" s="11" t="n"/>
      <c r="G70" s="11" t="n"/>
    </row>
    <row r="71">
      <c r="A71" s="10" t="inlineStr">
        <is>
          <t>S4</t>
        </is>
      </c>
      <c r="B71" s="10" t="inlineStr">
        <is>
          <t>Instagram</t>
        </is>
      </c>
      <c r="C71" s="10" t="inlineStr">
        <is>
          <t>Búsqueda</t>
        </is>
      </c>
      <c r="D71" s="10" t="inlineStr">
        <is>
          <t>outfit carrete mujer</t>
        </is>
      </c>
      <c r="E71" s="11" t="inlineStr">
        <is>
          <t>Pendiente</t>
        </is>
      </c>
      <c r="F71" s="11" t="n"/>
      <c r="G71" s="11" t="n"/>
    </row>
    <row r="72">
      <c r="A72" s="10" t="inlineStr">
        <is>
          <t>S4</t>
        </is>
      </c>
      <c r="B72" s="10" t="inlineStr">
        <is>
          <t>TikTok</t>
        </is>
      </c>
      <c r="C72" s="10" t="inlineStr">
        <is>
          <t>Búsqueda</t>
        </is>
      </c>
      <c r="D72" s="10" t="inlineStr">
        <is>
          <t>outfit para el carrete</t>
        </is>
      </c>
      <c r="E72" s="11" t="inlineStr">
        <is>
          <t>Pendiente</t>
        </is>
      </c>
      <c r="F72" s="11" t="n"/>
      <c r="G72" s="11" t="n"/>
    </row>
    <row r="73">
      <c r="A73" s="10" t="inlineStr">
        <is>
          <t>S4</t>
        </is>
      </c>
      <c r="B73" s="10" t="inlineStr">
        <is>
          <t>TikTok</t>
        </is>
      </c>
      <c r="C73" s="10" t="inlineStr">
        <is>
          <t>Búsqueda</t>
        </is>
      </c>
      <c r="D73" s="10" t="inlineStr">
        <is>
          <t>ropa para carretear chile</t>
        </is>
      </c>
      <c r="E73" s="11" t="inlineStr">
        <is>
          <t>Pendiente</t>
        </is>
      </c>
      <c r="F73" s="11" t="n"/>
      <c r="G73" s="11" t="n"/>
    </row>
    <row r="74">
      <c r="A74" s="10" t="inlineStr">
        <is>
          <t>S4</t>
        </is>
      </c>
      <c r="B74" s="10" t="inlineStr">
        <is>
          <t>TikTok</t>
        </is>
      </c>
      <c r="C74" s="10" t="inlineStr">
        <is>
          <t>Búsqueda</t>
        </is>
      </c>
      <c r="D74" s="10" t="inlineStr">
        <is>
          <t>faldas chile tienda</t>
        </is>
      </c>
      <c r="E74" s="11" t="inlineStr">
        <is>
          <t>Pendiente</t>
        </is>
      </c>
      <c r="F74" s="11" t="n"/>
      <c r="G74" s="11" t="n"/>
    </row>
    <row r="75">
      <c r="A75" s="10" t="inlineStr">
        <is>
          <t>S4</t>
        </is>
      </c>
      <c r="B75" s="10" t="inlineStr">
        <is>
          <t>TikTok</t>
        </is>
      </c>
      <c r="C75" s="10" t="inlineStr">
        <is>
          <t>Búsqueda</t>
        </is>
      </c>
      <c r="D75" s="10" t="inlineStr">
        <is>
          <t>outfit fiesta mujer chile</t>
        </is>
      </c>
      <c r="E75" s="11" t="inlineStr">
        <is>
          <t>Pendiente</t>
        </is>
      </c>
      <c r="F75" s="11" t="n"/>
      <c r="G75" s="11" t="n"/>
    </row>
    <row r="76">
      <c r="A76" s="10" t="inlineStr">
        <is>
          <t>S4</t>
        </is>
      </c>
      <c r="B76" s="10" t="inlineStr">
        <is>
          <t>Google</t>
        </is>
      </c>
      <c r="C76" s="10" t="inlineStr">
        <is>
          <t>Operador</t>
        </is>
      </c>
      <c r="D76" s="10" t="inlineStr">
        <is>
          <t>site:instagram.com "ropa de fiesta" "envíos a todo Chile"</t>
        </is>
      </c>
      <c r="E76" s="11" t="inlineStr">
        <is>
          <t>Pendiente</t>
        </is>
      </c>
      <c r="F76" s="11" t="n"/>
      <c r="G76" s="11" t="n"/>
    </row>
    <row r="77">
      <c r="A77" s="10" t="inlineStr">
        <is>
          <t>S4</t>
        </is>
      </c>
      <c r="B77" s="10" t="inlineStr">
        <is>
          <t>Google</t>
        </is>
      </c>
      <c r="C77" s="10" t="inlineStr">
        <is>
          <t>Operador</t>
        </is>
      </c>
      <c r="D77" s="10" t="inlineStr">
        <is>
          <t>site:instagram.com "faldas" "pedidos" Chile "+569"</t>
        </is>
      </c>
      <c r="E77" s="11" t="inlineStr">
        <is>
          <t>Pendiente</t>
        </is>
      </c>
      <c r="F77" s="11" t="n"/>
      <c r="G77" s="11" t="n"/>
    </row>
    <row r="78">
      <c r="A78" s="10" t="inlineStr">
        <is>
          <t>S5</t>
        </is>
      </c>
      <c r="B78" s="10" t="inlineStr">
        <is>
          <t>Instagram</t>
        </is>
      </c>
      <c r="C78" s="10" t="inlineStr">
        <is>
          <t>Hashtag</t>
        </is>
      </c>
      <c r="D78" s="10" t="inlineStr">
        <is>
          <t>#boutiquechile</t>
        </is>
      </c>
      <c r="E78" s="11" t="inlineStr">
        <is>
          <t>Pendiente</t>
        </is>
      </c>
      <c r="F78" s="11" t="n"/>
      <c r="G78" s="11" t="n"/>
    </row>
    <row r="79">
      <c r="A79" s="10" t="inlineStr">
        <is>
          <t>S5</t>
        </is>
      </c>
      <c r="B79" s="10" t="inlineStr">
        <is>
          <t>Instagram</t>
        </is>
      </c>
      <c r="C79" s="10" t="inlineStr">
        <is>
          <t>Hashtag</t>
        </is>
      </c>
      <c r="D79" s="10" t="inlineStr">
        <is>
          <t>#tiendaonlinechile</t>
        </is>
      </c>
      <c r="E79" s="11" t="inlineStr">
        <is>
          <t>Pendiente</t>
        </is>
      </c>
      <c r="F79" s="11" t="n"/>
      <c r="G79" s="11" t="n"/>
    </row>
    <row r="80">
      <c r="A80" s="10" t="inlineStr">
        <is>
          <t>S5</t>
        </is>
      </c>
      <c r="B80" s="10" t="inlineStr">
        <is>
          <t>Instagram</t>
        </is>
      </c>
      <c r="C80" s="10" t="inlineStr">
        <is>
          <t>Hashtag</t>
        </is>
      </c>
      <c r="D80" s="10" t="inlineStr">
        <is>
          <t>#emprendimientochile</t>
        </is>
      </c>
      <c r="E80" s="11" t="inlineStr">
        <is>
          <t>Pendiente</t>
        </is>
      </c>
      <c r="F80" s="11" t="n"/>
      <c r="G80" s="11" t="n"/>
    </row>
    <row r="81">
      <c r="A81" s="10" t="inlineStr">
        <is>
          <t>S5</t>
        </is>
      </c>
      <c r="B81" s="10" t="inlineStr">
        <is>
          <t>Instagram</t>
        </is>
      </c>
      <c r="C81" s="10" t="inlineStr">
        <is>
          <t>Hashtag</t>
        </is>
      </c>
      <c r="D81" s="10" t="inlineStr">
        <is>
          <t>#modachilena</t>
        </is>
      </c>
      <c r="E81" s="11" t="inlineStr">
        <is>
          <t>Pendiente</t>
        </is>
      </c>
      <c r="F81" s="11" t="n"/>
      <c r="G81" s="11" t="n"/>
    </row>
    <row r="82">
      <c r="A82" s="10" t="inlineStr">
        <is>
          <t>S5</t>
        </is>
      </c>
      <c r="B82" s="10" t="inlineStr">
        <is>
          <t>Instagram</t>
        </is>
      </c>
      <c r="C82" s="10" t="inlineStr">
        <is>
          <t>Hashtag</t>
        </is>
      </c>
      <c r="D82" s="10" t="inlineStr">
        <is>
          <t>#ropamujerviña</t>
        </is>
      </c>
      <c r="E82" s="11" t="inlineStr">
        <is>
          <t>Pendiente</t>
        </is>
      </c>
      <c r="F82" s="11" t="n"/>
      <c r="G82" s="11" t="n"/>
    </row>
    <row r="83">
      <c r="A83" s="10" t="inlineStr">
        <is>
          <t>S5</t>
        </is>
      </c>
      <c r="B83" s="10" t="inlineStr">
        <is>
          <t>Instagram</t>
        </is>
      </c>
      <c r="C83" s="10" t="inlineStr">
        <is>
          <t>Hashtag</t>
        </is>
      </c>
      <c r="D83" s="10" t="inlineStr">
        <is>
          <t>#ropamujersantiago</t>
        </is>
      </c>
      <c r="E83" s="11" t="inlineStr">
        <is>
          <t>Pendiente</t>
        </is>
      </c>
      <c r="F83" s="11" t="n"/>
      <c r="G83" s="11" t="n"/>
    </row>
    <row r="84">
      <c r="A84" s="10" t="inlineStr">
        <is>
          <t>S5</t>
        </is>
      </c>
      <c r="B84" s="10" t="inlineStr">
        <is>
          <t>Instagram</t>
        </is>
      </c>
      <c r="C84" s="10" t="inlineStr">
        <is>
          <t>Hashtag</t>
        </is>
      </c>
      <c r="D84" s="10" t="inlineStr">
        <is>
          <t>#ropamujerconcepcion</t>
        </is>
      </c>
      <c r="E84" s="11" t="inlineStr">
        <is>
          <t>Pendiente</t>
        </is>
      </c>
      <c r="F84" s="11" t="n"/>
      <c r="G84" s="11" t="n"/>
    </row>
    <row r="85">
      <c r="A85" s="10" t="inlineStr">
        <is>
          <t>S5</t>
        </is>
      </c>
      <c r="B85" s="10" t="inlineStr">
        <is>
          <t>TikTok</t>
        </is>
      </c>
      <c r="C85" s="10" t="inlineStr">
        <is>
          <t>Búsqueda</t>
        </is>
      </c>
      <c r="D85" s="10" t="inlineStr">
        <is>
          <t>tienda de ropa chile</t>
        </is>
      </c>
      <c r="E85" s="11" t="inlineStr">
        <is>
          <t>Pendiente</t>
        </is>
      </c>
      <c r="F85" s="11" t="n"/>
      <c r="G85" s="11" t="n"/>
    </row>
    <row r="86">
      <c r="A86" s="10" t="inlineStr">
        <is>
          <t>S5</t>
        </is>
      </c>
      <c r="B86" s="10" t="inlineStr">
        <is>
          <t>TikTok</t>
        </is>
      </c>
      <c r="C86" s="10" t="inlineStr">
        <is>
          <t>Búsqueda</t>
        </is>
      </c>
      <c r="D86" s="10" t="inlineStr">
        <is>
          <t>emprendimiento ropa mujer chile</t>
        </is>
      </c>
      <c r="E86" s="11" t="inlineStr">
        <is>
          <t>Pendiente</t>
        </is>
      </c>
      <c r="F86" s="11" t="n"/>
      <c r="G86" s="11" t="n"/>
    </row>
    <row r="87">
      <c r="A87" s="10" t="inlineStr">
        <is>
          <t>S5</t>
        </is>
      </c>
      <c r="B87" s="10" t="inlineStr">
        <is>
          <t>Google</t>
        </is>
      </c>
      <c r="C87" s="10" t="inlineStr">
        <is>
          <t>Operador</t>
        </is>
      </c>
      <c r="D87" s="10" t="inlineStr">
        <is>
          <t>site:instagram.com "boutique" "envíos a todo Chile" -www</t>
        </is>
      </c>
      <c r="E87" s="11" t="inlineStr">
        <is>
          <t>Pendiente</t>
        </is>
      </c>
      <c r="F87" s="11" t="n"/>
      <c r="G87" s="11" t="n"/>
    </row>
    <row r="88">
      <c r="A88" s="10" t="inlineStr">
        <is>
          <t>S5</t>
        </is>
      </c>
      <c r="B88" s="10" t="inlineStr">
        <is>
          <t>Google</t>
        </is>
      </c>
      <c r="C88" s="10" t="inlineStr">
        <is>
          <t>Operador</t>
        </is>
      </c>
      <c r="D88" s="10" t="inlineStr">
        <is>
          <t>site:instagram.com "tienda de ropa" "solo por DM" Chile</t>
        </is>
      </c>
      <c r="E88" s="11" t="inlineStr">
        <is>
          <t>Pendiente</t>
        </is>
      </c>
      <c r="F88" s="11" t="n"/>
      <c r="G88" s="11" t="n"/>
    </row>
  </sheetData>
  <dataValidations count="1">
    <dataValidation sqref="E2:E88" showDropDown="0" showInputMessage="0" showErrorMessage="0" allowBlank="1" type="list">
      <formula1>"Pendiente,Usada,Buena (repetir),No sirve"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10" customWidth="1" min="4" max="4"/>
    <col width="9" customWidth="1" min="5" max="5"/>
    <col width="11" customWidth="1" min="6" max="6"/>
    <col width="12" customWidth="1" min="7" max="7"/>
    <col width="16" customWidth="1" min="8" max="8"/>
    <col width="14" customWidth="1" min="9" max="9"/>
    <col width="24" customWidth="1" min="10" max="10"/>
    <col width="30" customWidth="1" min="11" max="11"/>
    <col width="30" customWidth="1" min="12" max="12"/>
    <col width="13" customWidth="1" min="13" max="13"/>
    <col width="13" customWidth="1" min="14" max="14"/>
    <col width="34" customWidth="1" min="15" max="15"/>
  </cols>
  <sheetData>
    <row r="1" ht="30" customHeight="1">
      <c r="A1" s="9" t="inlineStr">
        <is>
          <t>Fecha</t>
        </is>
      </c>
      <c r="B1" s="9" t="inlineStr">
        <is>
          <t>Cuenta (@)</t>
        </is>
      </c>
      <c r="C1" s="9" t="inlineStr">
        <is>
          <t>Link</t>
        </is>
      </c>
      <c r="D1" s="9" t="inlineStr">
        <is>
          <t>Red</t>
        </is>
      </c>
      <c r="E1" s="9" t="inlineStr">
        <is>
          <t>Segmento</t>
        </is>
      </c>
      <c r="F1" s="9" t="inlineStr">
        <is>
          <t>Seguidores</t>
        </is>
      </c>
      <c r="G1" s="9" t="inlineStr">
        <is>
          <t>En rango (1.500–40.000)</t>
        </is>
      </c>
      <c r="H1" s="9" t="inlineStr">
        <is>
          <t>Tiene web</t>
        </is>
      </c>
      <c r="I1" s="9" t="inlineStr">
        <is>
          <t>WhatsApp en bio</t>
        </is>
      </c>
      <c r="J1" s="9" t="inlineStr">
        <is>
          <t>Palabra clave de origen</t>
        </is>
      </c>
      <c r="K1" s="9" t="inlineStr">
        <is>
          <t>Cosa 1 a mejorar</t>
        </is>
      </c>
      <c r="L1" s="9" t="inlineStr">
        <is>
          <t>Cosa 2 a mejorar</t>
        </is>
      </c>
      <c r="M1" s="9" t="inlineStr">
        <is>
          <t>Estado</t>
        </is>
      </c>
      <c r="N1" s="9" t="inlineStr">
        <is>
          <t>Próximo seguimiento</t>
        </is>
      </c>
      <c r="O1" s="9" t="inlineStr">
        <is>
          <t>Notas</t>
        </is>
      </c>
    </row>
    <row r="2">
      <c r="A2" s="12" t="inlineStr">
        <is>
          <t>EJEMPLO</t>
        </is>
      </c>
      <c r="B2" s="11" t="inlineStr">
        <is>
          <t>@tienda_ejemplo</t>
        </is>
      </c>
      <c r="C2" s="11" t="inlineStr">
        <is>
          <t>https://instagram.com/tienda_ejemplo</t>
        </is>
      </c>
      <c r="D2" s="11" t="inlineStr">
        <is>
          <t>IG</t>
        </is>
      </c>
      <c r="E2" s="11" t="inlineStr">
        <is>
          <t>S3</t>
        </is>
      </c>
      <c r="F2" s="13" t="n">
        <v>8200</v>
      </c>
      <c r="G2" s="10">
        <f>IF(F2="","",IF(AND(F2&gt;=1500,F2&lt;=40000),"Sí","No"))</f>
        <v/>
      </c>
      <c r="H2" s="11" t="inlineStr">
        <is>
          <t>No</t>
        </is>
      </c>
      <c r="I2" s="11" t="inlineStr">
        <is>
          <t>+56 9 XXXX XXXX</t>
        </is>
      </c>
      <c r="J2" s="11" t="inlineStr">
        <is>
          <t>#botaschile</t>
        </is>
      </c>
      <c r="K2" s="11" t="inlineStr">
        <is>
          <t>Tallas se preguntan en comentarios</t>
        </is>
      </c>
      <c r="L2" s="11" t="inlineStr">
        <is>
          <t>El video vende pero no hay dónde comprar</t>
        </is>
      </c>
      <c r="M2" s="11" t="inlineStr">
        <is>
          <t>Por contactar</t>
        </is>
      </c>
      <c r="N2" s="14">
        <f>IF(OR(A2="",A2="EJEMPLO"),"",IF(M2="Enviado",DATEVALUE(A2)+2,""))</f>
        <v/>
      </c>
      <c r="O2" s="11" t="inlineStr">
        <is>
          <t>Fila de ejemplo: bórrala al empezar</t>
        </is>
      </c>
    </row>
    <row r="3">
      <c r="A3" s="15" t="inlineStr">
        <is>
          <t>2026-09-26</t>
        </is>
      </c>
      <c r="B3" s="11" t="inlineStr">
        <is>
          <t>@lider_en_marcas_2</t>
        </is>
      </c>
      <c r="C3" s="11" t="inlineStr">
        <is>
          <t>https://instagram.com/lider_en_marcas_2</t>
        </is>
      </c>
      <c r="D3" s="11" t="inlineStr">
        <is>
          <t>IG</t>
        </is>
      </c>
      <c r="E3" s="11" t="inlineStr">
        <is>
          <t>S1</t>
        </is>
      </c>
      <c r="F3" s="13" t="n">
        <v>13000</v>
      </c>
      <c r="G3" s="10">
        <f>IF(F3="","",IF(AND(F3&gt;=1500,F3&lt;=40000),"Sí","No"))</f>
        <v/>
      </c>
      <c r="H3" s="11" t="inlineStr">
        <is>
          <t>No</t>
        </is>
      </c>
      <c r="I3" s="11" t="n"/>
      <c r="J3" s="11" t="n"/>
      <c r="K3" s="11" t="inlineStr">
        <is>
          <t>Ventas solo por DM</t>
        </is>
      </c>
      <c r="L3" s="11" t="inlineStr">
        <is>
          <t>Sin packs por cantidad</t>
        </is>
      </c>
      <c r="M3" s="11" t="inlineStr">
        <is>
          <t>Reunión</t>
        </is>
      </c>
      <c r="N3" s="14">
        <f>IF(OR(A3="",A3="EJEMPLO"),"",IF(M3="Enviado",DATEVALUE(A3)+2,""))</f>
        <v/>
      </c>
      <c r="O3" s="11" t="inlineStr">
        <is>
          <t>Reunión mié 30-sep</t>
        </is>
      </c>
    </row>
    <row r="4">
      <c r="A4" s="15" t="n"/>
      <c r="B4" s="11" t="inlineStr">
        <is>
          <t>@tincho.exclusiveog</t>
        </is>
      </c>
      <c r="C4" s="11" t="inlineStr">
        <is>
          <t>https://instagram.com/tincho.exclusiveog</t>
        </is>
      </c>
      <c r="D4" s="11" t="inlineStr">
        <is>
          <t>IG</t>
        </is>
      </c>
      <c r="E4" s="11" t="inlineStr">
        <is>
          <t>S1</t>
        </is>
      </c>
      <c r="F4" s="13" t="n"/>
      <c r="G4" s="10">
        <f>IF(F4="","",IF(AND(F4&gt;=1500,F4&lt;=40000),"Sí","No"))</f>
        <v/>
      </c>
      <c r="H4" s="11" t="n"/>
      <c r="I4" s="11" t="n"/>
      <c r="J4" s="11" t="inlineStr">
        <is>
          <t>Referencia de Mateo</t>
        </is>
      </c>
      <c r="K4" s="11" t="n"/>
      <c r="L4" s="11" t="n"/>
      <c r="M4" s="11" t="inlineStr">
        <is>
          <t>Por contactar</t>
        </is>
      </c>
      <c r="N4" s="14">
        <f>IF(OR(A4="",A4="EJEMPLO"),"",IF(M4="Enviado",DATEVALUE(A4)+2,""))</f>
        <v/>
      </c>
      <c r="O4" s="11" t="inlineStr">
        <is>
          <t>Completar seguidores</t>
        </is>
      </c>
    </row>
    <row r="5">
      <c r="A5" s="15" t="n"/>
      <c r="B5" s="11" t="inlineStr">
        <is>
          <t>@padres.market</t>
        </is>
      </c>
      <c r="C5" s="11" t="inlineStr">
        <is>
          <t>https://instagram.com/padres.market</t>
        </is>
      </c>
      <c r="D5" s="11" t="inlineStr">
        <is>
          <t>IG</t>
        </is>
      </c>
      <c r="E5" s="11" t="inlineStr">
        <is>
          <t>S1</t>
        </is>
      </c>
      <c r="F5" s="13" t="n">
        <v>7460</v>
      </c>
      <c r="G5" s="10">
        <f>IF(F5="","",IF(AND(F5&gt;=1500,F5&lt;=40000),"Sí","No"))</f>
        <v/>
      </c>
      <c r="H5" s="11" t="inlineStr">
        <is>
          <t>No</t>
        </is>
      </c>
      <c r="I5" s="11" t="n"/>
      <c r="J5" s="11" t="inlineStr">
        <is>
          <t>Referencia de Mateo</t>
        </is>
      </c>
      <c r="K5" s="11" t="inlineStr">
        <is>
          <t>Stock solo en historias 'Disponible'</t>
        </is>
      </c>
      <c r="L5" s="11" t="inlineStr">
        <is>
          <t>'En camino' podría ser preventa</t>
        </is>
      </c>
      <c r="M5" s="11" t="inlineStr">
        <is>
          <t>Por contactar</t>
        </is>
      </c>
      <c r="N5" s="14">
        <f>IF(OR(A5="",A5="EJEMPLO"),"",IF(M5="Enviado",DATEVALUE(A5)+2,""))</f>
        <v/>
      </c>
      <c r="O5" s="11" t="inlineStr">
        <is>
          <t>Prioridad A</t>
        </is>
      </c>
    </row>
    <row r="6">
      <c r="A6" s="15" t="n"/>
      <c r="B6" s="11" t="inlineStr">
        <is>
          <t>@19markett</t>
        </is>
      </c>
      <c r="C6" s="11" t="inlineStr">
        <is>
          <t>https://instagram.com/19markett</t>
        </is>
      </c>
      <c r="D6" s="11" t="inlineStr">
        <is>
          <t>IG</t>
        </is>
      </c>
      <c r="E6" s="11" t="inlineStr">
        <is>
          <t>S2</t>
        </is>
      </c>
      <c r="F6" s="13" t="n">
        <v>11700</v>
      </c>
      <c r="G6" s="10">
        <f>IF(F6="","",IF(AND(F6&gt;=1500,F6&lt;=40000),"Sí","No"))</f>
        <v/>
      </c>
      <c r="H6" s="11" t="inlineStr">
        <is>
          <t>No</t>
        </is>
      </c>
      <c r="I6" s="11" t="n"/>
      <c r="J6" s="11" t="inlineStr">
        <is>
          <t>Referencia de Mateo</t>
        </is>
      </c>
      <c r="K6" s="11" t="inlineStr">
        <is>
          <t>Sin link para comprar directo</t>
        </is>
      </c>
      <c r="L6" s="11" t="inlineStr">
        <is>
          <t>Clientes de feria sin dónde recomprar</t>
        </is>
      </c>
      <c r="M6" s="11" t="inlineStr">
        <is>
          <t>Por contactar</t>
        </is>
      </c>
      <c r="N6" s="14">
        <f>IF(OR(A6="",A6="EJEMPLO"),"",IF(M6="Enviado",DATEVALUE(A6)+2,""))</f>
        <v/>
      </c>
      <c r="O6" s="11" t="inlineStr">
        <is>
          <t>Prioridad A. Stand en ferias</t>
        </is>
      </c>
    </row>
    <row r="7">
      <c r="A7" s="15" t="n"/>
      <c r="B7" s="11" t="inlineStr">
        <is>
          <t>@ogfleece.cl</t>
        </is>
      </c>
      <c r="C7" s="11" t="inlineStr">
        <is>
          <t>https://instagram.com/ogfleece.cl</t>
        </is>
      </c>
      <c r="D7" s="11" t="inlineStr">
        <is>
          <t>IG</t>
        </is>
      </c>
      <c r="E7" s="11" t="inlineStr">
        <is>
          <t>S1</t>
        </is>
      </c>
      <c r="F7" s="13" t="n">
        <v>5625</v>
      </c>
      <c r="G7" s="10">
        <f>IF(F7="","",IF(AND(F7&gt;=1500,F7&lt;=40000),"Sí","No"))</f>
        <v/>
      </c>
      <c r="H7" s="11" t="inlineStr">
        <is>
          <t>Mala</t>
        </is>
      </c>
      <c r="I7" s="11" t="n"/>
      <c r="J7" s="11" t="inlineStr">
        <is>
          <t>Referencia de Mateo</t>
        </is>
      </c>
      <c r="K7" s="11" t="inlineStr">
        <is>
          <t>Link lleva a grupo de WhatsApp</t>
        </is>
      </c>
      <c r="L7" s="11" t="inlineStr">
        <is>
          <t>Desde Chiloé: web abre todo Chile</t>
        </is>
      </c>
      <c r="M7" s="11" t="inlineStr">
        <is>
          <t>Por contactar</t>
        </is>
      </c>
      <c r="N7" s="14">
        <f>IF(OR(A7="",A7="EJEMPLO"),"",IF(M7="Enviado",DATEVALUE(A7)+2,""))</f>
        <v/>
      </c>
      <c r="O7" s="11" t="inlineStr">
        <is>
          <t>Prioridad A-</t>
        </is>
      </c>
    </row>
    <row r="8">
      <c r="A8" s="15" t="n"/>
      <c r="B8" s="11" t="inlineStr">
        <is>
          <t>@gengar.market</t>
        </is>
      </c>
      <c r="C8" s="11" t="inlineStr">
        <is>
          <t>https://instagram.com/gengar.market</t>
        </is>
      </c>
      <c r="D8" s="11" t="inlineStr">
        <is>
          <t>IG</t>
        </is>
      </c>
      <c r="E8" s="11" t="inlineStr">
        <is>
          <t>S2</t>
        </is>
      </c>
      <c r="F8" s="13" t="n">
        <v>14900</v>
      </c>
      <c r="G8" s="10">
        <f>IF(F8="","",IF(AND(F8&gt;=1500,F8&lt;=40000),"Sí","No"))</f>
        <v/>
      </c>
      <c r="H8" s="11" t="inlineStr">
        <is>
          <t>Sí</t>
        </is>
      </c>
      <c r="I8" s="11" t="n"/>
      <c r="J8" s="11" t="inlineStr">
        <is>
          <t>Referencia de Mateo</t>
        </is>
      </c>
      <c r="K8" s="11" t="inlineStr">
        <is>
          <t>Stock en historias pese a tener web</t>
        </is>
      </c>
      <c r="L8" s="11" t="inlineStr">
        <is>
          <t>Revisar gengarmarket.cl</t>
        </is>
      </c>
      <c r="M8" s="11" t="inlineStr">
        <is>
          <t>Por contactar</t>
        </is>
      </c>
      <c r="N8" s="14">
        <f>IF(OR(A8="",A8="EJEMPLO"),"",IF(M8="Enviado",DATEVALUE(A8)+2,""))</f>
        <v/>
      </c>
      <c r="O8" s="11" t="inlineStr">
        <is>
          <t>Prioridad B. Perfil privado</t>
        </is>
      </c>
    </row>
    <row r="9">
      <c r="A9" s="15" t="n"/>
      <c r="B9" s="11" t="inlineStr">
        <is>
          <t>@kicksfresh.cl</t>
        </is>
      </c>
      <c r="C9" s="11" t="inlineStr">
        <is>
          <t>https://instagram.com/kicksfresh.cl</t>
        </is>
      </c>
      <c r="D9" s="11" t="inlineStr">
        <is>
          <t>IG</t>
        </is>
      </c>
      <c r="E9" s="11" t="inlineStr">
        <is>
          <t>S2</t>
        </is>
      </c>
      <c r="F9" s="13" t="n"/>
      <c r="G9" s="10">
        <f>IF(F9="","",IF(AND(F9&gt;=1500,F9&lt;=40000),"Sí","No"))</f>
        <v/>
      </c>
      <c r="H9" s="11" t="n"/>
      <c r="I9" s="11" t="n"/>
      <c r="J9" s="11" t="inlineStr">
        <is>
          <t>Sugerencias de gengar.market</t>
        </is>
      </c>
      <c r="K9" s="11" t="n"/>
      <c r="L9" s="11" t="n"/>
      <c r="M9" s="11" t="inlineStr">
        <is>
          <t>Por revisar</t>
        </is>
      </c>
      <c r="N9" s="14">
        <f>IF(OR(A9="",A9="EJEMPLO"),"",IF(M9="Enviado",DATEVALUE(A9)+2,""))</f>
        <v/>
      </c>
      <c r="O9" s="11" t="n"/>
    </row>
    <row r="10">
      <c r="A10" s="15" t="n"/>
      <c r="B10" s="11" t="inlineStr">
        <is>
          <t>@grassneakers._</t>
        </is>
      </c>
      <c r="C10" s="11" t="inlineStr">
        <is>
          <t>https://instagram.com/grassneakers._</t>
        </is>
      </c>
      <c r="D10" s="11" t="inlineStr">
        <is>
          <t>IG</t>
        </is>
      </c>
      <c r="E10" s="11" t="inlineStr">
        <is>
          <t>S2</t>
        </is>
      </c>
      <c r="F10" s="13" t="n"/>
      <c r="G10" s="10">
        <f>IF(F10="","",IF(AND(F10&gt;=1500,F10&lt;=40000),"Sí","No"))</f>
        <v/>
      </c>
      <c r="H10" s="11" t="n"/>
      <c r="I10" s="11" t="n"/>
      <c r="J10" s="11" t="inlineStr">
        <is>
          <t>Sugerencias de gengar.market</t>
        </is>
      </c>
      <c r="K10" s="11" t="n"/>
      <c r="L10" s="11" t="n"/>
      <c r="M10" s="11" t="inlineStr">
        <is>
          <t>Por revisar</t>
        </is>
      </c>
      <c r="N10" s="14">
        <f>IF(OR(A10="",A10="EJEMPLO"),"",IF(M10="Enviado",DATEVALUE(A10)+2,""))</f>
        <v/>
      </c>
      <c r="O10" s="11" t="n"/>
    </row>
    <row r="11">
      <c r="A11" s="16" t="n"/>
      <c r="B11" s="17" t="n"/>
      <c r="C11" s="17" t="n"/>
      <c r="D11" s="17" t="n"/>
      <c r="E11" s="17" t="n"/>
      <c r="F11" s="18" t="n"/>
      <c r="G11" s="6">
        <f>IF(F11="","",IF(AND(F11&gt;=1500,F11&lt;=40000),"Sí","No"))</f>
        <v/>
      </c>
      <c r="H11" s="17" t="n"/>
      <c r="I11" s="17" t="n"/>
      <c r="J11" s="17" t="n"/>
      <c r="K11" s="17" t="n"/>
      <c r="L11" s="17" t="n"/>
      <c r="M11" s="17" t="n"/>
      <c r="N11" s="19">
        <f>IF(OR(A11="",A11="EJEMPLO"),"",IF(M11="Enviado",DATEVALUE(A11)+2,""))</f>
        <v/>
      </c>
      <c r="O11" s="17" t="n"/>
    </row>
    <row r="12">
      <c r="A12" s="16" t="n"/>
      <c r="B12" s="17" t="n"/>
      <c r="C12" s="17" t="n"/>
      <c r="D12" s="17" t="n"/>
      <c r="E12" s="17" t="n"/>
      <c r="F12" s="18" t="n"/>
      <c r="G12" s="6">
        <f>IF(F12="","",IF(AND(F12&gt;=1500,F12&lt;=40000),"Sí","No"))</f>
        <v/>
      </c>
      <c r="H12" s="17" t="n"/>
      <c r="I12" s="17" t="n"/>
      <c r="J12" s="17" t="n"/>
      <c r="K12" s="17" t="n"/>
      <c r="L12" s="17" t="n"/>
      <c r="M12" s="17" t="n"/>
      <c r="N12" s="19">
        <f>IF(OR(A12="",A12="EJEMPLO"),"",IF(M12="Enviado",DATEVALUE(A12)+2,""))</f>
        <v/>
      </c>
      <c r="O12" s="17" t="n"/>
    </row>
    <row r="13">
      <c r="A13" s="16" t="n"/>
      <c r="B13" s="17" t="n"/>
      <c r="C13" s="17" t="n"/>
      <c r="D13" s="17" t="n"/>
      <c r="E13" s="17" t="n"/>
      <c r="F13" s="18" t="n"/>
      <c r="G13" s="6">
        <f>IF(F13="","",IF(AND(F13&gt;=1500,F13&lt;=40000),"Sí","No"))</f>
        <v/>
      </c>
      <c r="H13" s="17" t="n"/>
      <c r="I13" s="17" t="n"/>
      <c r="J13" s="17" t="n"/>
      <c r="K13" s="17" t="n"/>
      <c r="L13" s="17" t="n"/>
      <c r="M13" s="17" t="n"/>
      <c r="N13" s="19">
        <f>IF(OR(A13="",A13="EJEMPLO"),"",IF(M13="Enviado",DATEVALUE(A13)+2,""))</f>
        <v/>
      </c>
      <c r="O13" s="17" t="n"/>
    </row>
    <row r="14">
      <c r="A14" s="16" t="n"/>
      <c r="B14" s="17" t="n"/>
      <c r="C14" s="17" t="n"/>
      <c r="D14" s="17" t="n"/>
      <c r="E14" s="17" t="n"/>
      <c r="F14" s="18" t="n"/>
      <c r="G14" s="6">
        <f>IF(F14="","",IF(AND(F14&gt;=1500,F14&lt;=40000),"Sí","No"))</f>
        <v/>
      </c>
      <c r="H14" s="17" t="n"/>
      <c r="I14" s="17" t="n"/>
      <c r="J14" s="17" t="n"/>
      <c r="K14" s="17" t="n"/>
      <c r="L14" s="17" t="n"/>
      <c r="M14" s="17" t="n"/>
      <c r="N14" s="19">
        <f>IF(OR(A14="",A14="EJEMPLO"),"",IF(M14="Enviado",DATEVALUE(A14)+2,""))</f>
        <v/>
      </c>
      <c r="O14" s="17" t="n"/>
    </row>
    <row r="15">
      <c r="A15" s="16" t="n"/>
      <c r="B15" s="17" t="n"/>
      <c r="C15" s="17" t="n"/>
      <c r="D15" s="17" t="n"/>
      <c r="E15" s="17" t="n"/>
      <c r="F15" s="18" t="n"/>
      <c r="G15" s="6">
        <f>IF(F15="","",IF(AND(F15&gt;=1500,F15&lt;=40000),"Sí","No"))</f>
        <v/>
      </c>
      <c r="H15" s="17" t="n"/>
      <c r="I15" s="17" t="n"/>
      <c r="J15" s="17" t="n"/>
      <c r="K15" s="17" t="n"/>
      <c r="L15" s="17" t="n"/>
      <c r="M15" s="17" t="n"/>
      <c r="N15" s="19">
        <f>IF(OR(A15="",A15="EJEMPLO"),"",IF(M15="Enviado",DATEVALUE(A15)+2,""))</f>
        <v/>
      </c>
      <c r="O15" s="17" t="n"/>
    </row>
    <row r="16">
      <c r="A16" s="16" t="n"/>
      <c r="B16" s="17" t="n"/>
      <c r="C16" s="17" t="n"/>
      <c r="D16" s="17" t="n"/>
      <c r="E16" s="17" t="n"/>
      <c r="F16" s="18" t="n"/>
      <c r="G16" s="6">
        <f>IF(F16="","",IF(AND(F16&gt;=1500,F16&lt;=40000),"Sí","No"))</f>
        <v/>
      </c>
      <c r="H16" s="17" t="n"/>
      <c r="I16" s="17" t="n"/>
      <c r="J16" s="17" t="n"/>
      <c r="K16" s="17" t="n"/>
      <c r="L16" s="17" t="n"/>
      <c r="M16" s="17" t="n"/>
      <c r="N16" s="19">
        <f>IF(OR(A16="",A16="EJEMPLO"),"",IF(M16="Enviado",DATEVALUE(A16)+2,""))</f>
        <v/>
      </c>
      <c r="O16" s="17" t="n"/>
    </row>
    <row r="17">
      <c r="A17" s="16" t="n"/>
      <c r="B17" s="17" t="n"/>
      <c r="C17" s="17" t="n"/>
      <c r="D17" s="17" t="n"/>
      <c r="E17" s="17" t="n"/>
      <c r="F17" s="18" t="n"/>
      <c r="G17" s="6">
        <f>IF(F17="","",IF(AND(F17&gt;=1500,F17&lt;=40000),"Sí","No"))</f>
        <v/>
      </c>
      <c r="H17" s="17" t="n"/>
      <c r="I17" s="17" t="n"/>
      <c r="J17" s="17" t="n"/>
      <c r="K17" s="17" t="n"/>
      <c r="L17" s="17" t="n"/>
      <c r="M17" s="17" t="n"/>
      <c r="N17" s="19">
        <f>IF(OR(A17="",A17="EJEMPLO"),"",IF(M17="Enviado",DATEVALUE(A17)+2,""))</f>
        <v/>
      </c>
      <c r="O17" s="17" t="n"/>
    </row>
    <row r="18">
      <c r="A18" s="16" t="n"/>
      <c r="B18" s="17" t="n"/>
      <c r="C18" s="17" t="n"/>
      <c r="D18" s="17" t="n"/>
      <c r="E18" s="17" t="n"/>
      <c r="F18" s="18" t="n"/>
      <c r="G18" s="6">
        <f>IF(F18="","",IF(AND(F18&gt;=1500,F18&lt;=40000),"Sí","No"))</f>
        <v/>
      </c>
      <c r="H18" s="17" t="n"/>
      <c r="I18" s="17" t="n"/>
      <c r="J18" s="17" t="n"/>
      <c r="K18" s="17" t="n"/>
      <c r="L18" s="17" t="n"/>
      <c r="M18" s="17" t="n"/>
      <c r="N18" s="19">
        <f>IF(OR(A18="",A18="EJEMPLO"),"",IF(M18="Enviado",DATEVALUE(A18)+2,""))</f>
        <v/>
      </c>
      <c r="O18" s="17" t="n"/>
    </row>
    <row r="19">
      <c r="A19" s="16" t="n"/>
      <c r="B19" s="17" t="n"/>
      <c r="C19" s="17" t="n"/>
      <c r="D19" s="17" t="n"/>
      <c r="E19" s="17" t="n"/>
      <c r="F19" s="18" t="n"/>
      <c r="G19" s="6">
        <f>IF(F19="","",IF(AND(F19&gt;=1500,F19&lt;=40000),"Sí","No"))</f>
        <v/>
      </c>
      <c r="H19" s="17" t="n"/>
      <c r="I19" s="17" t="n"/>
      <c r="J19" s="17" t="n"/>
      <c r="K19" s="17" t="n"/>
      <c r="L19" s="17" t="n"/>
      <c r="M19" s="17" t="n"/>
      <c r="N19" s="19">
        <f>IF(OR(A19="",A19="EJEMPLO"),"",IF(M19="Enviado",DATEVALUE(A19)+2,""))</f>
        <v/>
      </c>
      <c r="O19" s="17" t="n"/>
    </row>
    <row r="20">
      <c r="A20" s="16" t="n"/>
      <c r="B20" s="17" t="n"/>
      <c r="C20" s="17" t="n"/>
      <c r="D20" s="17" t="n"/>
      <c r="E20" s="17" t="n"/>
      <c r="F20" s="18" t="n"/>
      <c r="G20" s="6">
        <f>IF(F20="","",IF(AND(F20&gt;=1500,F20&lt;=40000),"Sí","No"))</f>
        <v/>
      </c>
      <c r="H20" s="17" t="n"/>
      <c r="I20" s="17" t="n"/>
      <c r="J20" s="17" t="n"/>
      <c r="K20" s="17" t="n"/>
      <c r="L20" s="17" t="n"/>
      <c r="M20" s="17" t="n"/>
      <c r="N20" s="19">
        <f>IF(OR(A20="",A20="EJEMPLO"),"",IF(M20="Enviado",DATEVALUE(A20)+2,""))</f>
        <v/>
      </c>
      <c r="O20" s="17" t="n"/>
    </row>
    <row r="21">
      <c r="A21" s="16" t="n"/>
      <c r="B21" s="17" t="n"/>
      <c r="C21" s="17" t="n"/>
      <c r="D21" s="17" t="n"/>
      <c r="E21" s="17" t="n"/>
      <c r="F21" s="18" t="n"/>
      <c r="G21" s="6">
        <f>IF(F21="","",IF(AND(F21&gt;=1500,F21&lt;=40000),"Sí","No"))</f>
        <v/>
      </c>
      <c r="H21" s="17" t="n"/>
      <c r="I21" s="17" t="n"/>
      <c r="J21" s="17" t="n"/>
      <c r="K21" s="17" t="n"/>
      <c r="L21" s="17" t="n"/>
      <c r="M21" s="17" t="n"/>
      <c r="N21" s="19">
        <f>IF(OR(A21="",A21="EJEMPLO"),"",IF(M21="Enviado",DATEVALUE(A21)+2,""))</f>
        <v/>
      </c>
      <c r="O21" s="17" t="n"/>
    </row>
    <row r="22">
      <c r="A22" s="16" t="n"/>
      <c r="B22" s="17" t="n"/>
      <c r="C22" s="17" t="n"/>
      <c r="D22" s="17" t="n"/>
      <c r="E22" s="17" t="n"/>
      <c r="F22" s="18" t="n"/>
      <c r="G22" s="6">
        <f>IF(F22="","",IF(AND(F22&gt;=1500,F22&lt;=40000),"Sí","No"))</f>
        <v/>
      </c>
      <c r="H22" s="17" t="n"/>
      <c r="I22" s="17" t="n"/>
      <c r="J22" s="17" t="n"/>
      <c r="K22" s="17" t="n"/>
      <c r="L22" s="17" t="n"/>
      <c r="M22" s="17" t="n"/>
      <c r="N22" s="19">
        <f>IF(OR(A22="",A22="EJEMPLO"),"",IF(M22="Enviado",DATEVALUE(A22)+2,""))</f>
        <v/>
      </c>
      <c r="O22" s="17" t="n"/>
    </row>
    <row r="23">
      <c r="A23" s="16" t="n"/>
      <c r="B23" s="17" t="n"/>
      <c r="C23" s="17" t="n"/>
      <c r="D23" s="17" t="n"/>
      <c r="E23" s="17" t="n"/>
      <c r="F23" s="18" t="n"/>
      <c r="G23" s="6">
        <f>IF(F23="","",IF(AND(F23&gt;=1500,F23&lt;=40000),"Sí","No"))</f>
        <v/>
      </c>
      <c r="H23" s="17" t="n"/>
      <c r="I23" s="17" t="n"/>
      <c r="J23" s="17" t="n"/>
      <c r="K23" s="17" t="n"/>
      <c r="L23" s="17" t="n"/>
      <c r="M23" s="17" t="n"/>
      <c r="N23" s="19">
        <f>IF(OR(A23="",A23="EJEMPLO"),"",IF(M23="Enviado",DATEVALUE(A23)+2,""))</f>
        <v/>
      </c>
      <c r="O23" s="17" t="n"/>
    </row>
    <row r="24">
      <c r="A24" s="16" t="n"/>
      <c r="B24" s="17" t="n"/>
      <c r="C24" s="17" t="n"/>
      <c r="D24" s="17" t="n"/>
      <c r="E24" s="17" t="n"/>
      <c r="F24" s="18" t="n"/>
      <c r="G24" s="6">
        <f>IF(F24="","",IF(AND(F24&gt;=1500,F24&lt;=40000),"Sí","No"))</f>
        <v/>
      </c>
      <c r="H24" s="17" t="n"/>
      <c r="I24" s="17" t="n"/>
      <c r="J24" s="17" t="n"/>
      <c r="K24" s="17" t="n"/>
      <c r="L24" s="17" t="n"/>
      <c r="M24" s="17" t="n"/>
      <c r="N24" s="19">
        <f>IF(OR(A24="",A24="EJEMPLO"),"",IF(M24="Enviado",DATEVALUE(A24)+2,""))</f>
        <v/>
      </c>
      <c r="O24" s="17" t="n"/>
    </row>
    <row r="25">
      <c r="A25" s="16" t="n"/>
      <c r="B25" s="17" t="n"/>
      <c r="C25" s="17" t="n"/>
      <c r="D25" s="17" t="n"/>
      <c r="E25" s="17" t="n"/>
      <c r="F25" s="18" t="n"/>
      <c r="G25" s="6">
        <f>IF(F25="","",IF(AND(F25&gt;=1500,F25&lt;=40000),"Sí","No"))</f>
        <v/>
      </c>
      <c r="H25" s="17" t="n"/>
      <c r="I25" s="17" t="n"/>
      <c r="J25" s="17" t="n"/>
      <c r="K25" s="17" t="n"/>
      <c r="L25" s="17" t="n"/>
      <c r="M25" s="17" t="n"/>
      <c r="N25" s="19">
        <f>IF(OR(A25="",A25="EJEMPLO"),"",IF(M25="Enviado",DATEVALUE(A25)+2,""))</f>
        <v/>
      </c>
      <c r="O25" s="17" t="n"/>
    </row>
    <row r="26">
      <c r="A26" s="16" t="n"/>
      <c r="B26" s="17" t="n"/>
      <c r="C26" s="17" t="n"/>
      <c r="D26" s="17" t="n"/>
      <c r="E26" s="17" t="n"/>
      <c r="F26" s="18" t="n"/>
      <c r="G26" s="6">
        <f>IF(F26="","",IF(AND(F26&gt;=1500,F26&lt;=40000),"Sí","No"))</f>
        <v/>
      </c>
      <c r="H26" s="17" t="n"/>
      <c r="I26" s="17" t="n"/>
      <c r="J26" s="17" t="n"/>
      <c r="K26" s="17" t="n"/>
      <c r="L26" s="17" t="n"/>
      <c r="M26" s="17" t="n"/>
      <c r="N26" s="19">
        <f>IF(OR(A26="",A26="EJEMPLO"),"",IF(M26="Enviado",DATEVALUE(A26)+2,""))</f>
        <v/>
      </c>
      <c r="O26" s="17" t="n"/>
    </row>
    <row r="27">
      <c r="A27" s="16" t="n"/>
      <c r="B27" s="17" t="n"/>
      <c r="C27" s="17" t="n"/>
      <c r="D27" s="17" t="n"/>
      <c r="E27" s="17" t="n"/>
      <c r="F27" s="18" t="n"/>
      <c r="G27" s="6">
        <f>IF(F27="","",IF(AND(F27&gt;=1500,F27&lt;=40000),"Sí","No"))</f>
        <v/>
      </c>
      <c r="H27" s="17" t="n"/>
      <c r="I27" s="17" t="n"/>
      <c r="J27" s="17" t="n"/>
      <c r="K27" s="17" t="n"/>
      <c r="L27" s="17" t="n"/>
      <c r="M27" s="17" t="n"/>
      <c r="N27" s="19">
        <f>IF(OR(A27="",A27="EJEMPLO"),"",IF(M27="Enviado",DATEVALUE(A27)+2,""))</f>
        <v/>
      </c>
      <c r="O27" s="17" t="n"/>
    </row>
    <row r="28">
      <c r="A28" s="16" t="n"/>
      <c r="B28" s="17" t="n"/>
      <c r="C28" s="17" t="n"/>
      <c r="D28" s="17" t="n"/>
      <c r="E28" s="17" t="n"/>
      <c r="F28" s="18" t="n"/>
      <c r="G28" s="6">
        <f>IF(F28="","",IF(AND(F28&gt;=1500,F28&lt;=40000),"Sí","No"))</f>
        <v/>
      </c>
      <c r="H28" s="17" t="n"/>
      <c r="I28" s="17" t="n"/>
      <c r="J28" s="17" t="n"/>
      <c r="K28" s="17" t="n"/>
      <c r="L28" s="17" t="n"/>
      <c r="M28" s="17" t="n"/>
      <c r="N28" s="19">
        <f>IF(OR(A28="",A28="EJEMPLO"),"",IF(M28="Enviado",DATEVALUE(A28)+2,""))</f>
        <v/>
      </c>
      <c r="O28" s="17" t="n"/>
    </row>
    <row r="29">
      <c r="A29" s="16" t="n"/>
      <c r="B29" s="17" t="n"/>
      <c r="C29" s="17" t="n"/>
      <c r="D29" s="17" t="n"/>
      <c r="E29" s="17" t="n"/>
      <c r="F29" s="18" t="n"/>
      <c r="G29" s="6">
        <f>IF(F29="","",IF(AND(F29&gt;=1500,F29&lt;=40000),"Sí","No"))</f>
        <v/>
      </c>
      <c r="H29" s="17" t="n"/>
      <c r="I29" s="17" t="n"/>
      <c r="J29" s="17" t="n"/>
      <c r="K29" s="17" t="n"/>
      <c r="L29" s="17" t="n"/>
      <c r="M29" s="17" t="n"/>
      <c r="N29" s="19">
        <f>IF(OR(A29="",A29="EJEMPLO"),"",IF(M29="Enviado",DATEVALUE(A29)+2,""))</f>
        <v/>
      </c>
      <c r="O29" s="17" t="n"/>
    </row>
    <row r="30">
      <c r="A30" s="16" t="n"/>
      <c r="B30" s="17" t="n"/>
      <c r="C30" s="17" t="n"/>
      <c r="D30" s="17" t="n"/>
      <c r="E30" s="17" t="n"/>
      <c r="F30" s="18" t="n"/>
      <c r="G30" s="6">
        <f>IF(F30="","",IF(AND(F30&gt;=1500,F30&lt;=40000),"Sí","No"))</f>
        <v/>
      </c>
      <c r="H30" s="17" t="n"/>
      <c r="I30" s="17" t="n"/>
      <c r="J30" s="17" t="n"/>
      <c r="K30" s="17" t="n"/>
      <c r="L30" s="17" t="n"/>
      <c r="M30" s="17" t="n"/>
      <c r="N30" s="19">
        <f>IF(OR(A30="",A30="EJEMPLO"),"",IF(M30="Enviado",DATEVALUE(A30)+2,""))</f>
        <v/>
      </c>
      <c r="O30" s="17" t="n"/>
    </row>
    <row r="31">
      <c r="A31" s="16" t="n"/>
      <c r="B31" s="17" t="n"/>
      <c r="C31" s="17" t="n"/>
      <c r="D31" s="17" t="n"/>
      <c r="E31" s="17" t="n"/>
      <c r="F31" s="18" t="n"/>
      <c r="G31" s="6">
        <f>IF(F31="","",IF(AND(F31&gt;=1500,F31&lt;=40000),"Sí","No"))</f>
        <v/>
      </c>
      <c r="H31" s="17" t="n"/>
      <c r="I31" s="17" t="n"/>
      <c r="J31" s="17" t="n"/>
      <c r="K31" s="17" t="n"/>
      <c r="L31" s="17" t="n"/>
      <c r="M31" s="17" t="n"/>
      <c r="N31" s="19">
        <f>IF(OR(A31="",A31="EJEMPLO"),"",IF(M31="Enviado",DATEVALUE(A31)+2,""))</f>
        <v/>
      </c>
      <c r="O31" s="17" t="n"/>
    </row>
    <row r="32">
      <c r="A32" s="16" t="n"/>
      <c r="B32" s="17" t="n"/>
      <c r="C32" s="17" t="n"/>
      <c r="D32" s="17" t="n"/>
      <c r="E32" s="17" t="n"/>
      <c r="F32" s="18" t="n"/>
      <c r="G32" s="6">
        <f>IF(F32="","",IF(AND(F32&gt;=1500,F32&lt;=40000),"Sí","No"))</f>
        <v/>
      </c>
      <c r="H32" s="17" t="n"/>
      <c r="I32" s="17" t="n"/>
      <c r="J32" s="17" t="n"/>
      <c r="K32" s="17" t="n"/>
      <c r="L32" s="17" t="n"/>
      <c r="M32" s="17" t="n"/>
      <c r="N32" s="19">
        <f>IF(OR(A32="",A32="EJEMPLO"),"",IF(M32="Enviado",DATEVALUE(A32)+2,""))</f>
        <v/>
      </c>
      <c r="O32" s="17" t="n"/>
    </row>
    <row r="33">
      <c r="A33" s="16" t="n"/>
      <c r="B33" s="17" t="n"/>
      <c r="C33" s="17" t="n"/>
      <c r="D33" s="17" t="n"/>
      <c r="E33" s="17" t="n"/>
      <c r="F33" s="18" t="n"/>
      <c r="G33" s="6">
        <f>IF(F33="","",IF(AND(F33&gt;=1500,F33&lt;=40000),"Sí","No"))</f>
        <v/>
      </c>
      <c r="H33" s="17" t="n"/>
      <c r="I33" s="17" t="n"/>
      <c r="J33" s="17" t="n"/>
      <c r="K33" s="17" t="n"/>
      <c r="L33" s="17" t="n"/>
      <c r="M33" s="17" t="n"/>
      <c r="N33" s="19">
        <f>IF(OR(A33="",A33="EJEMPLO"),"",IF(M33="Enviado",DATEVALUE(A33)+2,""))</f>
        <v/>
      </c>
      <c r="O33" s="17" t="n"/>
    </row>
    <row r="34">
      <c r="A34" s="16" t="n"/>
      <c r="B34" s="17" t="n"/>
      <c r="C34" s="17" t="n"/>
      <c r="D34" s="17" t="n"/>
      <c r="E34" s="17" t="n"/>
      <c r="F34" s="18" t="n"/>
      <c r="G34" s="6">
        <f>IF(F34="","",IF(AND(F34&gt;=1500,F34&lt;=40000),"Sí","No"))</f>
        <v/>
      </c>
      <c r="H34" s="17" t="n"/>
      <c r="I34" s="17" t="n"/>
      <c r="J34" s="17" t="n"/>
      <c r="K34" s="17" t="n"/>
      <c r="L34" s="17" t="n"/>
      <c r="M34" s="17" t="n"/>
      <c r="N34" s="19">
        <f>IF(OR(A34="",A34="EJEMPLO"),"",IF(M34="Enviado",DATEVALUE(A34)+2,""))</f>
        <v/>
      </c>
      <c r="O34" s="17" t="n"/>
    </row>
    <row r="35">
      <c r="A35" s="16" t="n"/>
      <c r="B35" s="17" t="n"/>
      <c r="C35" s="17" t="n"/>
      <c r="D35" s="17" t="n"/>
      <c r="E35" s="17" t="n"/>
      <c r="F35" s="18" t="n"/>
      <c r="G35" s="6">
        <f>IF(F35="","",IF(AND(F35&gt;=1500,F35&lt;=40000),"Sí","No"))</f>
        <v/>
      </c>
      <c r="H35" s="17" t="n"/>
      <c r="I35" s="17" t="n"/>
      <c r="J35" s="17" t="n"/>
      <c r="K35" s="17" t="n"/>
      <c r="L35" s="17" t="n"/>
      <c r="M35" s="17" t="n"/>
      <c r="N35" s="19">
        <f>IF(OR(A35="",A35="EJEMPLO"),"",IF(M35="Enviado",DATEVALUE(A35)+2,""))</f>
        <v/>
      </c>
      <c r="O35" s="17" t="n"/>
    </row>
    <row r="36">
      <c r="A36" s="16" t="n"/>
      <c r="B36" s="17" t="n"/>
      <c r="C36" s="17" t="n"/>
      <c r="D36" s="17" t="n"/>
      <c r="E36" s="17" t="n"/>
      <c r="F36" s="18" t="n"/>
      <c r="G36" s="6">
        <f>IF(F36="","",IF(AND(F36&gt;=1500,F36&lt;=40000),"Sí","No"))</f>
        <v/>
      </c>
      <c r="H36" s="17" t="n"/>
      <c r="I36" s="17" t="n"/>
      <c r="J36" s="17" t="n"/>
      <c r="K36" s="17" t="n"/>
      <c r="L36" s="17" t="n"/>
      <c r="M36" s="17" t="n"/>
      <c r="N36" s="19">
        <f>IF(OR(A36="",A36="EJEMPLO"),"",IF(M36="Enviado",DATEVALUE(A36)+2,""))</f>
        <v/>
      </c>
      <c r="O36" s="17" t="n"/>
    </row>
    <row r="37">
      <c r="A37" s="16" t="n"/>
      <c r="B37" s="17" t="n"/>
      <c r="C37" s="17" t="n"/>
      <c r="D37" s="17" t="n"/>
      <c r="E37" s="17" t="n"/>
      <c r="F37" s="18" t="n"/>
      <c r="G37" s="6">
        <f>IF(F37="","",IF(AND(F37&gt;=1500,F37&lt;=40000),"Sí","No"))</f>
        <v/>
      </c>
      <c r="H37" s="17" t="n"/>
      <c r="I37" s="17" t="n"/>
      <c r="J37" s="17" t="n"/>
      <c r="K37" s="17" t="n"/>
      <c r="L37" s="17" t="n"/>
      <c r="M37" s="17" t="n"/>
      <c r="N37" s="19">
        <f>IF(OR(A37="",A37="EJEMPLO"),"",IF(M37="Enviado",DATEVALUE(A37)+2,""))</f>
        <v/>
      </c>
      <c r="O37" s="17" t="n"/>
    </row>
    <row r="38">
      <c r="A38" s="16" t="n"/>
      <c r="B38" s="17" t="n"/>
      <c r="C38" s="17" t="n"/>
      <c r="D38" s="17" t="n"/>
      <c r="E38" s="17" t="n"/>
      <c r="F38" s="18" t="n"/>
      <c r="G38" s="6">
        <f>IF(F38="","",IF(AND(F38&gt;=1500,F38&lt;=40000),"Sí","No"))</f>
        <v/>
      </c>
      <c r="H38" s="17" t="n"/>
      <c r="I38" s="17" t="n"/>
      <c r="J38" s="17" t="n"/>
      <c r="K38" s="17" t="n"/>
      <c r="L38" s="17" t="n"/>
      <c r="M38" s="17" t="n"/>
      <c r="N38" s="19">
        <f>IF(OR(A38="",A38="EJEMPLO"),"",IF(M38="Enviado",DATEVALUE(A38)+2,""))</f>
        <v/>
      </c>
      <c r="O38" s="17" t="n"/>
    </row>
    <row r="39">
      <c r="A39" s="16" t="n"/>
      <c r="B39" s="17" t="n"/>
      <c r="C39" s="17" t="n"/>
      <c r="D39" s="17" t="n"/>
      <c r="E39" s="17" t="n"/>
      <c r="F39" s="18" t="n"/>
      <c r="G39" s="6">
        <f>IF(F39="","",IF(AND(F39&gt;=1500,F39&lt;=40000),"Sí","No"))</f>
        <v/>
      </c>
      <c r="H39" s="17" t="n"/>
      <c r="I39" s="17" t="n"/>
      <c r="J39" s="17" t="n"/>
      <c r="K39" s="17" t="n"/>
      <c r="L39" s="17" t="n"/>
      <c r="M39" s="17" t="n"/>
      <c r="N39" s="19">
        <f>IF(OR(A39="",A39="EJEMPLO"),"",IF(M39="Enviado",DATEVALUE(A39)+2,""))</f>
        <v/>
      </c>
      <c r="O39" s="17" t="n"/>
    </row>
    <row r="40">
      <c r="A40" s="16" t="n"/>
      <c r="B40" s="17" t="n"/>
      <c r="C40" s="17" t="n"/>
      <c r="D40" s="17" t="n"/>
      <c r="E40" s="17" t="n"/>
      <c r="F40" s="18" t="n"/>
      <c r="G40" s="6">
        <f>IF(F40="","",IF(AND(F40&gt;=1500,F40&lt;=40000),"Sí","No"))</f>
        <v/>
      </c>
      <c r="H40" s="17" t="n"/>
      <c r="I40" s="17" t="n"/>
      <c r="J40" s="17" t="n"/>
      <c r="K40" s="17" t="n"/>
      <c r="L40" s="17" t="n"/>
      <c r="M40" s="17" t="n"/>
      <c r="N40" s="19">
        <f>IF(OR(A40="",A40="EJEMPLO"),"",IF(M40="Enviado",DATEVALUE(A40)+2,""))</f>
        <v/>
      </c>
      <c r="O40" s="17" t="n"/>
    </row>
    <row r="41">
      <c r="A41" s="16" t="n"/>
      <c r="B41" s="17" t="n"/>
      <c r="C41" s="17" t="n"/>
      <c r="D41" s="17" t="n"/>
      <c r="E41" s="17" t="n"/>
      <c r="F41" s="18" t="n"/>
      <c r="G41" s="6">
        <f>IF(F41="","",IF(AND(F41&gt;=1500,F41&lt;=40000),"Sí","No"))</f>
        <v/>
      </c>
      <c r="H41" s="17" t="n"/>
      <c r="I41" s="17" t="n"/>
      <c r="J41" s="17" t="n"/>
      <c r="K41" s="17" t="n"/>
      <c r="L41" s="17" t="n"/>
      <c r="M41" s="17" t="n"/>
      <c r="N41" s="19">
        <f>IF(OR(A41="",A41="EJEMPLO"),"",IF(M41="Enviado",DATEVALUE(A41)+2,""))</f>
        <v/>
      </c>
      <c r="O41" s="17" t="n"/>
    </row>
    <row r="42">
      <c r="A42" s="16" t="n"/>
      <c r="B42" s="17" t="n"/>
      <c r="C42" s="17" t="n"/>
      <c r="D42" s="17" t="n"/>
      <c r="E42" s="17" t="n"/>
      <c r="F42" s="18" t="n"/>
      <c r="G42" s="6">
        <f>IF(F42="","",IF(AND(F42&gt;=1500,F42&lt;=40000),"Sí","No"))</f>
        <v/>
      </c>
      <c r="H42" s="17" t="n"/>
      <c r="I42" s="17" t="n"/>
      <c r="J42" s="17" t="n"/>
      <c r="K42" s="17" t="n"/>
      <c r="L42" s="17" t="n"/>
      <c r="M42" s="17" t="n"/>
      <c r="N42" s="19">
        <f>IF(OR(A42="",A42="EJEMPLO"),"",IF(M42="Enviado",DATEVALUE(A42)+2,""))</f>
        <v/>
      </c>
      <c r="O42" s="17" t="n"/>
    </row>
    <row r="43">
      <c r="A43" s="16" t="n"/>
      <c r="B43" s="17" t="n"/>
      <c r="C43" s="17" t="n"/>
      <c r="D43" s="17" t="n"/>
      <c r="E43" s="17" t="n"/>
      <c r="F43" s="18" t="n"/>
      <c r="G43" s="6">
        <f>IF(F43="","",IF(AND(F43&gt;=1500,F43&lt;=40000),"Sí","No"))</f>
        <v/>
      </c>
      <c r="H43" s="17" t="n"/>
      <c r="I43" s="17" t="n"/>
      <c r="J43" s="17" t="n"/>
      <c r="K43" s="17" t="n"/>
      <c r="L43" s="17" t="n"/>
      <c r="M43" s="17" t="n"/>
      <c r="N43" s="19">
        <f>IF(OR(A43="",A43="EJEMPLO"),"",IF(M43="Enviado",DATEVALUE(A43)+2,""))</f>
        <v/>
      </c>
      <c r="O43" s="17" t="n"/>
    </row>
    <row r="44">
      <c r="A44" s="16" t="n"/>
      <c r="B44" s="17" t="n"/>
      <c r="C44" s="17" t="n"/>
      <c r="D44" s="17" t="n"/>
      <c r="E44" s="17" t="n"/>
      <c r="F44" s="18" t="n"/>
      <c r="G44" s="6">
        <f>IF(F44="","",IF(AND(F44&gt;=1500,F44&lt;=40000),"Sí","No"))</f>
        <v/>
      </c>
      <c r="H44" s="17" t="n"/>
      <c r="I44" s="17" t="n"/>
      <c r="J44" s="17" t="n"/>
      <c r="K44" s="17" t="n"/>
      <c r="L44" s="17" t="n"/>
      <c r="M44" s="17" t="n"/>
      <c r="N44" s="19">
        <f>IF(OR(A44="",A44="EJEMPLO"),"",IF(M44="Enviado",DATEVALUE(A44)+2,""))</f>
        <v/>
      </c>
      <c r="O44" s="17" t="n"/>
    </row>
    <row r="45">
      <c r="A45" s="16" t="n"/>
      <c r="B45" s="17" t="n"/>
      <c r="C45" s="17" t="n"/>
      <c r="D45" s="17" t="n"/>
      <c r="E45" s="17" t="n"/>
      <c r="F45" s="18" t="n"/>
      <c r="G45" s="6">
        <f>IF(F45="","",IF(AND(F45&gt;=1500,F45&lt;=40000),"Sí","No"))</f>
        <v/>
      </c>
      <c r="H45" s="17" t="n"/>
      <c r="I45" s="17" t="n"/>
      <c r="J45" s="17" t="n"/>
      <c r="K45" s="17" t="n"/>
      <c r="L45" s="17" t="n"/>
      <c r="M45" s="17" t="n"/>
      <c r="N45" s="19">
        <f>IF(OR(A45="",A45="EJEMPLO"),"",IF(M45="Enviado",DATEVALUE(A45)+2,""))</f>
        <v/>
      </c>
      <c r="O45" s="17" t="n"/>
    </row>
    <row r="46">
      <c r="A46" s="16" t="n"/>
      <c r="B46" s="17" t="n"/>
      <c r="C46" s="17" t="n"/>
      <c r="D46" s="17" t="n"/>
      <c r="E46" s="17" t="n"/>
      <c r="F46" s="18" t="n"/>
      <c r="G46" s="6">
        <f>IF(F46="","",IF(AND(F46&gt;=1500,F46&lt;=40000),"Sí","No"))</f>
        <v/>
      </c>
      <c r="H46" s="17" t="n"/>
      <c r="I46" s="17" t="n"/>
      <c r="J46" s="17" t="n"/>
      <c r="K46" s="17" t="n"/>
      <c r="L46" s="17" t="n"/>
      <c r="M46" s="17" t="n"/>
      <c r="N46" s="19">
        <f>IF(OR(A46="",A46="EJEMPLO"),"",IF(M46="Enviado",DATEVALUE(A46)+2,""))</f>
        <v/>
      </c>
      <c r="O46" s="17" t="n"/>
    </row>
    <row r="47">
      <c r="A47" s="16" t="n"/>
      <c r="B47" s="17" t="n"/>
      <c r="C47" s="17" t="n"/>
      <c r="D47" s="17" t="n"/>
      <c r="E47" s="17" t="n"/>
      <c r="F47" s="18" t="n"/>
      <c r="G47" s="6">
        <f>IF(F47="","",IF(AND(F47&gt;=1500,F47&lt;=40000),"Sí","No"))</f>
        <v/>
      </c>
      <c r="H47" s="17" t="n"/>
      <c r="I47" s="17" t="n"/>
      <c r="J47" s="17" t="n"/>
      <c r="K47" s="17" t="n"/>
      <c r="L47" s="17" t="n"/>
      <c r="M47" s="17" t="n"/>
      <c r="N47" s="19">
        <f>IF(OR(A47="",A47="EJEMPLO"),"",IF(M47="Enviado",DATEVALUE(A47)+2,""))</f>
        <v/>
      </c>
      <c r="O47" s="17" t="n"/>
    </row>
    <row r="48">
      <c r="A48" s="16" t="n"/>
      <c r="B48" s="17" t="n"/>
      <c r="C48" s="17" t="n"/>
      <c r="D48" s="17" t="n"/>
      <c r="E48" s="17" t="n"/>
      <c r="F48" s="18" t="n"/>
      <c r="G48" s="6">
        <f>IF(F48="","",IF(AND(F48&gt;=1500,F48&lt;=40000),"Sí","No"))</f>
        <v/>
      </c>
      <c r="H48" s="17" t="n"/>
      <c r="I48" s="17" t="n"/>
      <c r="J48" s="17" t="n"/>
      <c r="K48" s="17" t="n"/>
      <c r="L48" s="17" t="n"/>
      <c r="M48" s="17" t="n"/>
      <c r="N48" s="19">
        <f>IF(OR(A48="",A48="EJEMPLO"),"",IF(M48="Enviado",DATEVALUE(A48)+2,""))</f>
        <v/>
      </c>
      <c r="O48" s="17" t="n"/>
    </row>
    <row r="49">
      <c r="A49" s="16" t="n"/>
      <c r="B49" s="17" t="n"/>
      <c r="C49" s="17" t="n"/>
      <c r="D49" s="17" t="n"/>
      <c r="E49" s="17" t="n"/>
      <c r="F49" s="18" t="n"/>
      <c r="G49" s="6">
        <f>IF(F49="","",IF(AND(F49&gt;=1500,F49&lt;=40000),"Sí","No"))</f>
        <v/>
      </c>
      <c r="H49" s="17" t="n"/>
      <c r="I49" s="17" t="n"/>
      <c r="J49" s="17" t="n"/>
      <c r="K49" s="17" t="n"/>
      <c r="L49" s="17" t="n"/>
      <c r="M49" s="17" t="n"/>
      <c r="N49" s="19">
        <f>IF(OR(A49="",A49="EJEMPLO"),"",IF(M49="Enviado",DATEVALUE(A49)+2,""))</f>
        <v/>
      </c>
      <c r="O49" s="17" t="n"/>
    </row>
    <row r="50">
      <c r="A50" s="16" t="n"/>
      <c r="B50" s="17" t="n"/>
      <c r="C50" s="17" t="n"/>
      <c r="D50" s="17" t="n"/>
      <c r="E50" s="17" t="n"/>
      <c r="F50" s="18" t="n"/>
      <c r="G50" s="6">
        <f>IF(F50="","",IF(AND(F50&gt;=1500,F50&lt;=40000),"Sí","No"))</f>
        <v/>
      </c>
      <c r="H50" s="17" t="n"/>
      <c r="I50" s="17" t="n"/>
      <c r="J50" s="17" t="n"/>
      <c r="K50" s="17" t="n"/>
      <c r="L50" s="17" t="n"/>
      <c r="M50" s="17" t="n"/>
      <c r="N50" s="19">
        <f>IF(OR(A50="",A50="EJEMPLO"),"",IF(M50="Enviado",DATEVALUE(A50)+2,""))</f>
        <v/>
      </c>
      <c r="O50" s="17" t="n"/>
    </row>
    <row r="51">
      <c r="A51" s="16" t="n"/>
      <c r="B51" s="17" t="n"/>
      <c r="C51" s="17" t="n"/>
      <c r="D51" s="17" t="n"/>
      <c r="E51" s="17" t="n"/>
      <c r="F51" s="18" t="n"/>
      <c r="G51" s="6">
        <f>IF(F51="","",IF(AND(F51&gt;=1500,F51&lt;=40000),"Sí","No"))</f>
        <v/>
      </c>
      <c r="H51" s="17" t="n"/>
      <c r="I51" s="17" t="n"/>
      <c r="J51" s="17" t="n"/>
      <c r="K51" s="17" t="n"/>
      <c r="L51" s="17" t="n"/>
      <c r="M51" s="17" t="n"/>
      <c r="N51" s="19">
        <f>IF(OR(A51="",A51="EJEMPLO"),"",IF(M51="Enviado",DATEVALUE(A51)+2,""))</f>
        <v/>
      </c>
      <c r="O51" s="17" t="n"/>
    </row>
    <row r="52">
      <c r="A52" s="16" t="n"/>
      <c r="B52" s="17" t="n"/>
      <c r="C52" s="17" t="n"/>
      <c r="D52" s="17" t="n"/>
      <c r="E52" s="17" t="n"/>
      <c r="F52" s="18" t="n"/>
      <c r="G52" s="6">
        <f>IF(F52="","",IF(AND(F52&gt;=1500,F52&lt;=40000),"Sí","No"))</f>
        <v/>
      </c>
      <c r="H52" s="17" t="n"/>
      <c r="I52" s="17" t="n"/>
      <c r="J52" s="17" t="n"/>
      <c r="K52" s="17" t="n"/>
      <c r="L52" s="17" t="n"/>
      <c r="M52" s="17" t="n"/>
      <c r="N52" s="19">
        <f>IF(OR(A52="",A52="EJEMPLO"),"",IF(M52="Enviado",DATEVALUE(A52)+2,""))</f>
        <v/>
      </c>
      <c r="O52" s="17" t="n"/>
    </row>
    <row r="53">
      <c r="A53" s="16" t="n"/>
      <c r="B53" s="17" t="n"/>
      <c r="C53" s="17" t="n"/>
      <c r="D53" s="17" t="n"/>
      <c r="E53" s="17" t="n"/>
      <c r="F53" s="18" t="n"/>
      <c r="G53" s="6">
        <f>IF(F53="","",IF(AND(F53&gt;=1500,F53&lt;=40000),"Sí","No"))</f>
        <v/>
      </c>
      <c r="H53" s="17" t="n"/>
      <c r="I53" s="17" t="n"/>
      <c r="J53" s="17" t="n"/>
      <c r="K53" s="17" t="n"/>
      <c r="L53" s="17" t="n"/>
      <c r="M53" s="17" t="n"/>
      <c r="N53" s="19">
        <f>IF(OR(A53="",A53="EJEMPLO"),"",IF(M53="Enviado",DATEVALUE(A53)+2,""))</f>
        <v/>
      </c>
      <c r="O53" s="17" t="n"/>
    </row>
    <row r="54">
      <c r="A54" s="16" t="n"/>
      <c r="B54" s="17" t="n"/>
      <c r="C54" s="17" t="n"/>
      <c r="D54" s="17" t="n"/>
      <c r="E54" s="17" t="n"/>
      <c r="F54" s="18" t="n"/>
      <c r="G54" s="6">
        <f>IF(F54="","",IF(AND(F54&gt;=1500,F54&lt;=40000),"Sí","No"))</f>
        <v/>
      </c>
      <c r="H54" s="17" t="n"/>
      <c r="I54" s="17" t="n"/>
      <c r="J54" s="17" t="n"/>
      <c r="K54" s="17" t="n"/>
      <c r="L54" s="17" t="n"/>
      <c r="M54" s="17" t="n"/>
      <c r="N54" s="19">
        <f>IF(OR(A54="",A54="EJEMPLO"),"",IF(M54="Enviado",DATEVALUE(A54)+2,""))</f>
        <v/>
      </c>
      <c r="O54" s="17" t="n"/>
    </row>
    <row r="55">
      <c r="A55" s="16" t="n"/>
      <c r="B55" s="17" t="n"/>
      <c r="C55" s="17" t="n"/>
      <c r="D55" s="17" t="n"/>
      <c r="E55" s="17" t="n"/>
      <c r="F55" s="18" t="n"/>
      <c r="G55" s="6">
        <f>IF(F55="","",IF(AND(F55&gt;=1500,F55&lt;=40000),"Sí","No"))</f>
        <v/>
      </c>
      <c r="H55" s="17" t="n"/>
      <c r="I55" s="17" t="n"/>
      <c r="J55" s="17" t="n"/>
      <c r="K55" s="17" t="n"/>
      <c r="L55" s="17" t="n"/>
      <c r="M55" s="17" t="n"/>
      <c r="N55" s="19">
        <f>IF(OR(A55="",A55="EJEMPLO"),"",IF(M55="Enviado",DATEVALUE(A55)+2,""))</f>
        <v/>
      </c>
      <c r="O55" s="17" t="n"/>
    </row>
    <row r="56">
      <c r="A56" s="16" t="n"/>
      <c r="B56" s="17" t="n"/>
      <c r="C56" s="17" t="n"/>
      <c r="D56" s="17" t="n"/>
      <c r="E56" s="17" t="n"/>
      <c r="F56" s="18" t="n"/>
      <c r="G56" s="6">
        <f>IF(F56="","",IF(AND(F56&gt;=1500,F56&lt;=40000),"Sí","No"))</f>
        <v/>
      </c>
      <c r="H56" s="17" t="n"/>
      <c r="I56" s="17" t="n"/>
      <c r="J56" s="17" t="n"/>
      <c r="K56" s="17" t="n"/>
      <c r="L56" s="17" t="n"/>
      <c r="M56" s="17" t="n"/>
      <c r="N56" s="19">
        <f>IF(OR(A56="",A56="EJEMPLO"),"",IF(M56="Enviado",DATEVALUE(A56)+2,""))</f>
        <v/>
      </c>
      <c r="O56" s="17" t="n"/>
    </row>
    <row r="57">
      <c r="A57" s="16" t="n"/>
      <c r="B57" s="17" t="n"/>
      <c r="C57" s="17" t="n"/>
      <c r="D57" s="17" t="n"/>
      <c r="E57" s="17" t="n"/>
      <c r="F57" s="18" t="n"/>
      <c r="G57" s="6">
        <f>IF(F57="","",IF(AND(F57&gt;=1500,F57&lt;=40000),"Sí","No"))</f>
        <v/>
      </c>
      <c r="H57" s="17" t="n"/>
      <c r="I57" s="17" t="n"/>
      <c r="J57" s="17" t="n"/>
      <c r="K57" s="17" t="n"/>
      <c r="L57" s="17" t="n"/>
      <c r="M57" s="17" t="n"/>
      <c r="N57" s="19">
        <f>IF(OR(A57="",A57="EJEMPLO"),"",IF(M57="Enviado",DATEVALUE(A57)+2,""))</f>
        <v/>
      </c>
      <c r="O57" s="17" t="n"/>
    </row>
    <row r="58">
      <c r="A58" s="16" t="n"/>
      <c r="B58" s="17" t="n"/>
      <c r="C58" s="17" t="n"/>
      <c r="D58" s="17" t="n"/>
      <c r="E58" s="17" t="n"/>
      <c r="F58" s="18" t="n"/>
      <c r="G58" s="6">
        <f>IF(F58="","",IF(AND(F58&gt;=1500,F58&lt;=40000),"Sí","No"))</f>
        <v/>
      </c>
      <c r="H58" s="17" t="n"/>
      <c r="I58" s="17" t="n"/>
      <c r="J58" s="17" t="n"/>
      <c r="K58" s="17" t="n"/>
      <c r="L58" s="17" t="n"/>
      <c r="M58" s="17" t="n"/>
      <c r="N58" s="19">
        <f>IF(OR(A58="",A58="EJEMPLO"),"",IF(M58="Enviado",DATEVALUE(A58)+2,""))</f>
        <v/>
      </c>
      <c r="O58" s="17" t="n"/>
    </row>
    <row r="59">
      <c r="A59" s="16" t="n"/>
      <c r="B59" s="17" t="n"/>
      <c r="C59" s="17" t="n"/>
      <c r="D59" s="17" t="n"/>
      <c r="E59" s="17" t="n"/>
      <c r="F59" s="18" t="n"/>
      <c r="G59" s="6">
        <f>IF(F59="","",IF(AND(F59&gt;=1500,F59&lt;=40000),"Sí","No"))</f>
        <v/>
      </c>
      <c r="H59" s="17" t="n"/>
      <c r="I59" s="17" t="n"/>
      <c r="J59" s="17" t="n"/>
      <c r="K59" s="17" t="n"/>
      <c r="L59" s="17" t="n"/>
      <c r="M59" s="17" t="n"/>
      <c r="N59" s="19">
        <f>IF(OR(A59="",A59="EJEMPLO"),"",IF(M59="Enviado",DATEVALUE(A59)+2,""))</f>
        <v/>
      </c>
      <c r="O59" s="17" t="n"/>
    </row>
    <row r="60">
      <c r="A60" s="16" t="n"/>
      <c r="B60" s="17" t="n"/>
      <c r="C60" s="17" t="n"/>
      <c r="D60" s="17" t="n"/>
      <c r="E60" s="17" t="n"/>
      <c r="F60" s="18" t="n"/>
      <c r="G60" s="6">
        <f>IF(F60="","",IF(AND(F60&gt;=1500,F60&lt;=40000),"Sí","No"))</f>
        <v/>
      </c>
      <c r="H60" s="17" t="n"/>
      <c r="I60" s="17" t="n"/>
      <c r="J60" s="17" t="n"/>
      <c r="K60" s="17" t="n"/>
      <c r="L60" s="17" t="n"/>
      <c r="M60" s="17" t="n"/>
      <c r="N60" s="19">
        <f>IF(OR(A60="",A60="EJEMPLO"),"",IF(M60="Enviado",DATEVALUE(A60)+2,""))</f>
        <v/>
      </c>
      <c r="O60" s="17" t="n"/>
    </row>
    <row r="61">
      <c r="A61" s="16" t="n"/>
      <c r="B61" s="17" t="n"/>
      <c r="C61" s="17" t="n"/>
      <c r="D61" s="17" t="n"/>
      <c r="E61" s="17" t="n"/>
      <c r="F61" s="18" t="n"/>
      <c r="G61" s="6">
        <f>IF(F61="","",IF(AND(F61&gt;=1500,F61&lt;=40000),"Sí","No"))</f>
        <v/>
      </c>
      <c r="H61" s="17" t="n"/>
      <c r="I61" s="17" t="n"/>
      <c r="J61" s="17" t="n"/>
      <c r="K61" s="17" t="n"/>
      <c r="L61" s="17" t="n"/>
      <c r="M61" s="17" t="n"/>
      <c r="N61" s="19">
        <f>IF(OR(A61="",A61="EJEMPLO"),"",IF(M61="Enviado",DATEVALUE(A61)+2,""))</f>
        <v/>
      </c>
      <c r="O61" s="17" t="n"/>
    </row>
    <row r="62">
      <c r="A62" s="16" t="n"/>
      <c r="B62" s="17" t="n"/>
      <c r="C62" s="17" t="n"/>
      <c r="D62" s="17" t="n"/>
      <c r="E62" s="17" t="n"/>
      <c r="F62" s="18" t="n"/>
      <c r="G62" s="6">
        <f>IF(F62="","",IF(AND(F62&gt;=1500,F62&lt;=40000),"Sí","No"))</f>
        <v/>
      </c>
      <c r="H62" s="17" t="n"/>
      <c r="I62" s="17" t="n"/>
      <c r="J62" s="17" t="n"/>
      <c r="K62" s="17" t="n"/>
      <c r="L62" s="17" t="n"/>
      <c r="M62" s="17" t="n"/>
      <c r="N62" s="19">
        <f>IF(OR(A62="",A62="EJEMPLO"),"",IF(M62="Enviado",DATEVALUE(A62)+2,""))</f>
        <v/>
      </c>
      <c r="O62" s="17" t="n"/>
    </row>
    <row r="63">
      <c r="A63" s="16" t="n"/>
      <c r="B63" s="17" t="n"/>
      <c r="C63" s="17" t="n"/>
      <c r="D63" s="17" t="n"/>
      <c r="E63" s="17" t="n"/>
      <c r="F63" s="18" t="n"/>
      <c r="G63" s="6">
        <f>IF(F63="","",IF(AND(F63&gt;=1500,F63&lt;=40000),"Sí","No"))</f>
        <v/>
      </c>
      <c r="H63" s="17" t="n"/>
      <c r="I63" s="17" t="n"/>
      <c r="J63" s="17" t="n"/>
      <c r="K63" s="17" t="n"/>
      <c r="L63" s="17" t="n"/>
      <c r="M63" s="17" t="n"/>
      <c r="N63" s="19">
        <f>IF(OR(A63="",A63="EJEMPLO"),"",IF(M63="Enviado",DATEVALUE(A63)+2,""))</f>
        <v/>
      </c>
      <c r="O63" s="17" t="n"/>
    </row>
    <row r="64">
      <c r="A64" s="16" t="n"/>
      <c r="B64" s="17" t="n"/>
      <c r="C64" s="17" t="n"/>
      <c r="D64" s="17" t="n"/>
      <c r="E64" s="17" t="n"/>
      <c r="F64" s="18" t="n"/>
      <c r="G64" s="6">
        <f>IF(F64="","",IF(AND(F64&gt;=1500,F64&lt;=40000),"Sí","No"))</f>
        <v/>
      </c>
      <c r="H64" s="17" t="n"/>
      <c r="I64" s="17" t="n"/>
      <c r="J64" s="17" t="n"/>
      <c r="K64" s="17" t="n"/>
      <c r="L64" s="17" t="n"/>
      <c r="M64" s="17" t="n"/>
      <c r="N64" s="19">
        <f>IF(OR(A64="",A64="EJEMPLO"),"",IF(M64="Enviado",DATEVALUE(A64)+2,""))</f>
        <v/>
      </c>
      <c r="O64" s="17" t="n"/>
    </row>
    <row r="65">
      <c r="A65" s="16" t="n"/>
      <c r="B65" s="17" t="n"/>
      <c r="C65" s="17" t="n"/>
      <c r="D65" s="17" t="n"/>
      <c r="E65" s="17" t="n"/>
      <c r="F65" s="18" t="n"/>
      <c r="G65" s="6">
        <f>IF(F65="","",IF(AND(F65&gt;=1500,F65&lt;=40000),"Sí","No"))</f>
        <v/>
      </c>
      <c r="H65" s="17" t="n"/>
      <c r="I65" s="17" t="n"/>
      <c r="J65" s="17" t="n"/>
      <c r="K65" s="17" t="n"/>
      <c r="L65" s="17" t="n"/>
      <c r="M65" s="17" t="n"/>
      <c r="N65" s="19">
        <f>IF(OR(A65="",A65="EJEMPLO"),"",IF(M65="Enviado",DATEVALUE(A65)+2,""))</f>
        <v/>
      </c>
      <c r="O65" s="17" t="n"/>
    </row>
    <row r="66">
      <c r="A66" s="16" t="n"/>
      <c r="B66" s="17" t="n"/>
      <c r="C66" s="17" t="n"/>
      <c r="D66" s="17" t="n"/>
      <c r="E66" s="17" t="n"/>
      <c r="F66" s="18" t="n"/>
      <c r="G66" s="6">
        <f>IF(F66="","",IF(AND(F66&gt;=1500,F66&lt;=40000),"Sí","No"))</f>
        <v/>
      </c>
      <c r="H66" s="17" t="n"/>
      <c r="I66" s="17" t="n"/>
      <c r="J66" s="17" t="n"/>
      <c r="K66" s="17" t="n"/>
      <c r="L66" s="17" t="n"/>
      <c r="M66" s="17" t="n"/>
      <c r="N66" s="19">
        <f>IF(OR(A66="",A66="EJEMPLO"),"",IF(M66="Enviado",DATEVALUE(A66)+2,""))</f>
        <v/>
      </c>
      <c r="O66" s="17" t="n"/>
    </row>
    <row r="67">
      <c r="A67" s="16" t="n"/>
      <c r="B67" s="17" t="n"/>
      <c r="C67" s="17" t="n"/>
      <c r="D67" s="17" t="n"/>
      <c r="E67" s="17" t="n"/>
      <c r="F67" s="18" t="n"/>
      <c r="G67" s="6">
        <f>IF(F67="","",IF(AND(F67&gt;=1500,F67&lt;=40000),"Sí","No"))</f>
        <v/>
      </c>
      <c r="H67" s="17" t="n"/>
      <c r="I67" s="17" t="n"/>
      <c r="J67" s="17" t="n"/>
      <c r="K67" s="17" t="n"/>
      <c r="L67" s="17" t="n"/>
      <c r="M67" s="17" t="n"/>
      <c r="N67" s="19">
        <f>IF(OR(A67="",A67="EJEMPLO"),"",IF(M67="Enviado",DATEVALUE(A67)+2,""))</f>
        <v/>
      </c>
      <c r="O67" s="17" t="n"/>
    </row>
    <row r="68">
      <c r="A68" s="16" t="n"/>
      <c r="B68" s="17" t="n"/>
      <c r="C68" s="17" t="n"/>
      <c r="D68" s="17" t="n"/>
      <c r="E68" s="17" t="n"/>
      <c r="F68" s="18" t="n"/>
      <c r="G68" s="6">
        <f>IF(F68="","",IF(AND(F68&gt;=1500,F68&lt;=40000),"Sí","No"))</f>
        <v/>
      </c>
      <c r="H68" s="17" t="n"/>
      <c r="I68" s="17" t="n"/>
      <c r="J68" s="17" t="n"/>
      <c r="K68" s="17" t="n"/>
      <c r="L68" s="17" t="n"/>
      <c r="M68" s="17" t="n"/>
      <c r="N68" s="19">
        <f>IF(OR(A68="",A68="EJEMPLO"),"",IF(M68="Enviado",DATEVALUE(A68)+2,""))</f>
        <v/>
      </c>
      <c r="O68" s="17" t="n"/>
    </row>
    <row r="69">
      <c r="A69" s="16" t="n"/>
      <c r="B69" s="17" t="n"/>
      <c r="C69" s="17" t="n"/>
      <c r="D69" s="17" t="n"/>
      <c r="E69" s="17" t="n"/>
      <c r="F69" s="18" t="n"/>
      <c r="G69" s="6">
        <f>IF(F69="","",IF(AND(F69&gt;=1500,F69&lt;=40000),"Sí","No"))</f>
        <v/>
      </c>
      <c r="H69" s="17" t="n"/>
      <c r="I69" s="17" t="n"/>
      <c r="J69" s="17" t="n"/>
      <c r="K69" s="17" t="n"/>
      <c r="L69" s="17" t="n"/>
      <c r="M69" s="17" t="n"/>
      <c r="N69" s="19">
        <f>IF(OR(A69="",A69="EJEMPLO"),"",IF(M69="Enviado",DATEVALUE(A69)+2,""))</f>
        <v/>
      </c>
      <c r="O69" s="17" t="n"/>
    </row>
    <row r="70">
      <c r="A70" s="16" t="n"/>
      <c r="B70" s="17" t="n"/>
      <c r="C70" s="17" t="n"/>
      <c r="D70" s="17" t="n"/>
      <c r="E70" s="17" t="n"/>
      <c r="F70" s="18" t="n"/>
      <c r="G70" s="6">
        <f>IF(F70="","",IF(AND(F70&gt;=1500,F70&lt;=40000),"Sí","No"))</f>
        <v/>
      </c>
      <c r="H70" s="17" t="n"/>
      <c r="I70" s="17" t="n"/>
      <c r="J70" s="17" t="n"/>
      <c r="K70" s="17" t="n"/>
      <c r="L70" s="17" t="n"/>
      <c r="M70" s="17" t="n"/>
      <c r="N70" s="19">
        <f>IF(OR(A70="",A70="EJEMPLO"),"",IF(M70="Enviado",DATEVALUE(A70)+2,""))</f>
        <v/>
      </c>
      <c r="O70" s="17" t="n"/>
    </row>
    <row r="71">
      <c r="A71" s="16" t="n"/>
      <c r="B71" s="17" t="n"/>
      <c r="C71" s="17" t="n"/>
      <c r="D71" s="17" t="n"/>
      <c r="E71" s="17" t="n"/>
      <c r="F71" s="18" t="n"/>
      <c r="G71" s="6">
        <f>IF(F71="","",IF(AND(F71&gt;=1500,F71&lt;=40000),"Sí","No"))</f>
        <v/>
      </c>
      <c r="H71" s="17" t="n"/>
      <c r="I71" s="17" t="n"/>
      <c r="J71" s="17" t="n"/>
      <c r="K71" s="17" t="n"/>
      <c r="L71" s="17" t="n"/>
      <c r="M71" s="17" t="n"/>
      <c r="N71" s="19">
        <f>IF(OR(A71="",A71="EJEMPLO"),"",IF(M71="Enviado",DATEVALUE(A71)+2,""))</f>
        <v/>
      </c>
      <c r="O71" s="17" t="n"/>
    </row>
    <row r="72">
      <c r="A72" s="16" t="n"/>
      <c r="B72" s="17" t="n"/>
      <c r="C72" s="17" t="n"/>
      <c r="D72" s="17" t="n"/>
      <c r="E72" s="17" t="n"/>
      <c r="F72" s="18" t="n"/>
      <c r="G72" s="6">
        <f>IF(F72="","",IF(AND(F72&gt;=1500,F72&lt;=40000),"Sí","No"))</f>
        <v/>
      </c>
      <c r="H72" s="17" t="n"/>
      <c r="I72" s="17" t="n"/>
      <c r="J72" s="17" t="n"/>
      <c r="K72" s="17" t="n"/>
      <c r="L72" s="17" t="n"/>
      <c r="M72" s="17" t="n"/>
      <c r="N72" s="19">
        <f>IF(OR(A72="",A72="EJEMPLO"),"",IF(M72="Enviado",DATEVALUE(A72)+2,""))</f>
        <v/>
      </c>
      <c r="O72" s="17" t="n"/>
    </row>
    <row r="73">
      <c r="A73" s="16" t="n"/>
      <c r="B73" s="17" t="n"/>
      <c r="C73" s="17" t="n"/>
      <c r="D73" s="17" t="n"/>
      <c r="E73" s="17" t="n"/>
      <c r="F73" s="18" t="n"/>
      <c r="G73" s="6">
        <f>IF(F73="","",IF(AND(F73&gt;=1500,F73&lt;=40000),"Sí","No"))</f>
        <v/>
      </c>
      <c r="H73" s="17" t="n"/>
      <c r="I73" s="17" t="n"/>
      <c r="J73" s="17" t="n"/>
      <c r="K73" s="17" t="n"/>
      <c r="L73" s="17" t="n"/>
      <c r="M73" s="17" t="n"/>
      <c r="N73" s="19">
        <f>IF(OR(A73="",A73="EJEMPLO"),"",IF(M73="Enviado",DATEVALUE(A73)+2,""))</f>
        <v/>
      </c>
      <c r="O73" s="17" t="n"/>
    </row>
    <row r="74">
      <c r="A74" s="16" t="n"/>
      <c r="B74" s="17" t="n"/>
      <c r="C74" s="17" t="n"/>
      <c r="D74" s="17" t="n"/>
      <c r="E74" s="17" t="n"/>
      <c r="F74" s="18" t="n"/>
      <c r="G74" s="6">
        <f>IF(F74="","",IF(AND(F74&gt;=1500,F74&lt;=40000),"Sí","No"))</f>
        <v/>
      </c>
      <c r="H74" s="17" t="n"/>
      <c r="I74" s="17" t="n"/>
      <c r="J74" s="17" t="n"/>
      <c r="K74" s="17" t="n"/>
      <c r="L74" s="17" t="n"/>
      <c r="M74" s="17" t="n"/>
      <c r="N74" s="19">
        <f>IF(OR(A74="",A74="EJEMPLO"),"",IF(M74="Enviado",DATEVALUE(A74)+2,""))</f>
        <v/>
      </c>
      <c r="O74" s="17" t="n"/>
    </row>
    <row r="75">
      <c r="A75" s="16" t="n"/>
      <c r="B75" s="17" t="n"/>
      <c r="C75" s="17" t="n"/>
      <c r="D75" s="17" t="n"/>
      <c r="E75" s="17" t="n"/>
      <c r="F75" s="18" t="n"/>
      <c r="G75" s="6">
        <f>IF(F75="","",IF(AND(F75&gt;=1500,F75&lt;=40000),"Sí","No"))</f>
        <v/>
      </c>
      <c r="H75" s="17" t="n"/>
      <c r="I75" s="17" t="n"/>
      <c r="J75" s="17" t="n"/>
      <c r="K75" s="17" t="n"/>
      <c r="L75" s="17" t="n"/>
      <c r="M75" s="17" t="n"/>
      <c r="N75" s="19">
        <f>IF(OR(A75="",A75="EJEMPLO"),"",IF(M75="Enviado",DATEVALUE(A75)+2,""))</f>
        <v/>
      </c>
      <c r="O75" s="17" t="n"/>
    </row>
    <row r="76">
      <c r="A76" s="16" t="n"/>
      <c r="B76" s="17" t="n"/>
      <c r="C76" s="17" t="n"/>
      <c r="D76" s="17" t="n"/>
      <c r="E76" s="17" t="n"/>
      <c r="F76" s="18" t="n"/>
      <c r="G76" s="6">
        <f>IF(F76="","",IF(AND(F76&gt;=1500,F76&lt;=40000),"Sí","No"))</f>
        <v/>
      </c>
      <c r="H76" s="17" t="n"/>
      <c r="I76" s="17" t="n"/>
      <c r="J76" s="17" t="n"/>
      <c r="K76" s="17" t="n"/>
      <c r="L76" s="17" t="n"/>
      <c r="M76" s="17" t="n"/>
      <c r="N76" s="19">
        <f>IF(OR(A76="",A76="EJEMPLO"),"",IF(M76="Enviado",DATEVALUE(A76)+2,""))</f>
        <v/>
      </c>
      <c r="O76" s="17" t="n"/>
    </row>
    <row r="77">
      <c r="A77" s="16" t="n"/>
      <c r="B77" s="17" t="n"/>
      <c r="C77" s="17" t="n"/>
      <c r="D77" s="17" t="n"/>
      <c r="E77" s="17" t="n"/>
      <c r="F77" s="18" t="n"/>
      <c r="G77" s="6">
        <f>IF(F77="","",IF(AND(F77&gt;=1500,F77&lt;=40000),"Sí","No"))</f>
        <v/>
      </c>
      <c r="H77" s="17" t="n"/>
      <c r="I77" s="17" t="n"/>
      <c r="J77" s="17" t="n"/>
      <c r="K77" s="17" t="n"/>
      <c r="L77" s="17" t="n"/>
      <c r="M77" s="17" t="n"/>
      <c r="N77" s="19">
        <f>IF(OR(A77="",A77="EJEMPLO"),"",IF(M77="Enviado",DATEVALUE(A77)+2,""))</f>
        <v/>
      </c>
      <c r="O77" s="17" t="n"/>
    </row>
    <row r="78">
      <c r="A78" s="16" t="n"/>
      <c r="B78" s="17" t="n"/>
      <c r="C78" s="17" t="n"/>
      <c r="D78" s="17" t="n"/>
      <c r="E78" s="17" t="n"/>
      <c r="F78" s="18" t="n"/>
      <c r="G78" s="6">
        <f>IF(F78="","",IF(AND(F78&gt;=1500,F78&lt;=40000),"Sí","No"))</f>
        <v/>
      </c>
      <c r="H78" s="17" t="n"/>
      <c r="I78" s="17" t="n"/>
      <c r="J78" s="17" t="n"/>
      <c r="K78" s="17" t="n"/>
      <c r="L78" s="17" t="n"/>
      <c r="M78" s="17" t="n"/>
      <c r="N78" s="19">
        <f>IF(OR(A78="",A78="EJEMPLO"),"",IF(M78="Enviado",DATEVALUE(A78)+2,""))</f>
        <v/>
      </c>
      <c r="O78" s="17" t="n"/>
    </row>
    <row r="79">
      <c r="A79" s="16" t="n"/>
      <c r="B79" s="17" t="n"/>
      <c r="C79" s="17" t="n"/>
      <c r="D79" s="17" t="n"/>
      <c r="E79" s="17" t="n"/>
      <c r="F79" s="18" t="n"/>
      <c r="G79" s="6">
        <f>IF(F79="","",IF(AND(F79&gt;=1500,F79&lt;=40000),"Sí","No"))</f>
        <v/>
      </c>
      <c r="H79" s="17" t="n"/>
      <c r="I79" s="17" t="n"/>
      <c r="J79" s="17" t="n"/>
      <c r="K79" s="17" t="n"/>
      <c r="L79" s="17" t="n"/>
      <c r="M79" s="17" t="n"/>
      <c r="N79" s="19">
        <f>IF(OR(A79="",A79="EJEMPLO"),"",IF(M79="Enviado",DATEVALUE(A79)+2,""))</f>
        <v/>
      </c>
      <c r="O79" s="17" t="n"/>
    </row>
    <row r="80">
      <c r="A80" s="16" t="n"/>
      <c r="B80" s="17" t="n"/>
      <c r="C80" s="17" t="n"/>
      <c r="D80" s="17" t="n"/>
      <c r="E80" s="17" t="n"/>
      <c r="F80" s="18" t="n"/>
      <c r="G80" s="6">
        <f>IF(F80="","",IF(AND(F80&gt;=1500,F80&lt;=40000),"Sí","No"))</f>
        <v/>
      </c>
      <c r="H80" s="17" t="n"/>
      <c r="I80" s="17" t="n"/>
      <c r="J80" s="17" t="n"/>
      <c r="K80" s="17" t="n"/>
      <c r="L80" s="17" t="n"/>
      <c r="M80" s="17" t="n"/>
      <c r="N80" s="19">
        <f>IF(OR(A80="",A80="EJEMPLO"),"",IF(M80="Enviado",DATEVALUE(A80)+2,""))</f>
        <v/>
      </c>
      <c r="O80" s="17" t="n"/>
    </row>
    <row r="81">
      <c r="A81" s="16" t="n"/>
      <c r="B81" s="17" t="n"/>
      <c r="C81" s="17" t="n"/>
      <c r="D81" s="17" t="n"/>
      <c r="E81" s="17" t="n"/>
      <c r="F81" s="18" t="n"/>
      <c r="G81" s="6">
        <f>IF(F81="","",IF(AND(F81&gt;=1500,F81&lt;=40000),"Sí","No"))</f>
        <v/>
      </c>
      <c r="H81" s="17" t="n"/>
      <c r="I81" s="17" t="n"/>
      <c r="J81" s="17" t="n"/>
      <c r="K81" s="17" t="n"/>
      <c r="L81" s="17" t="n"/>
      <c r="M81" s="17" t="n"/>
      <c r="N81" s="19">
        <f>IF(OR(A81="",A81="EJEMPLO"),"",IF(M81="Enviado",DATEVALUE(A81)+2,""))</f>
        <v/>
      </c>
      <c r="O81" s="17" t="n"/>
    </row>
    <row r="82">
      <c r="A82" s="16" t="n"/>
      <c r="B82" s="17" t="n"/>
      <c r="C82" s="17" t="n"/>
      <c r="D82" s="17" t="n"/>
      <c r="E82" s="17" t="n"/>
      <c r="F82" s="18" t="n"/>
      <c r="G82" s="6">
        <f>IF(F82="","",IF(AND(F82&gt;=1500,F82&lt;=40000),"Sí","No"))</f>
        <v/>
      </c>
      <c r="H82" s="17" t="n"/>
      <c r="I82" s="17" t="n"/>
      <c r="J82" s="17" t="n"/>
      <c r="K82" s="17" t="n"/>
      <c r="L82" s="17" t="n"/>
      <c r="M82" s="17" t="n"/>
      <c r="N82" s="19">
        <f>IF(OR(A82="",A82="EJEMPLO"),"",IF(M82="Enviado",DATEVALUE(A82)+2,""))</f>
        <v/>
      </c>
      <c r="O82" s="17" t="n"/>
    </row>
    <row r="83">
      <c r="A83" s="16" t="n"/>
      <c r="B83" s="17" t="n"/>
      <c r="C83" s="17" t="n"/>
      <c r="D83" s="17" t="n"/>
      <c r="E83" s="17" t="n"/>
      <c r="F83" s="18" t="n"/>
      <c r="G83" s="6">
        <f>IF(F83="","",IF(AND(F83&gt;=1500,F83&lt;=40000),"Sí","No"))</f>
        <v/>
      </c>
      <c r="H83" s="17" t="n"/>
      <c r="I83" s="17" t="n"/>
      <c r="J83" s="17" t="n"/>
      <c r="K83" s="17" t="n"/>
      <c r="L83" s="17" t="n"/>
      <c r="M83" s="17" t="n"/>
      <c r="N83" s="19">
        <f>IF(OR(A83="",A83="EJEMPLO"),"",IF(M83="Enviado",DATEVALUE(A83)+2,""))</f>
        <v/>
      </c>
      <c r="O83" s="17" t="n"/>
    </row>
    <row r="84">
      <c r="A84" s="16" t="n"/>
      <c r="B84" s="17" t="n"/>
      <c r="C84" s="17" t="n"/>
      <c r="D84" s="17" t="n"/>
      <c r="E84" s="17" t="n"/>
      <c r="F84" s="18" t="n"/>
      <c r="G84" s="6">
        <f>IF(F84="","",IF(AND(F84&gt;=1500,F84&lt;=40000),"Sí","No"))</f>
        <v/>
      </c>
      <c r="H84" s="17" t="n"/>
      <c r="I84" s="17" t="n"/>
      <c r="J84" s="17" t="n"/>
      <c r="K84" s="17" t="n"/>
      <c r="L84" s="17" t="n"/>
      <c r="M84" s="17" t="n"/>
      <c r="N84" s="19">
        <f>IF(OR(A84="",A84="EJEMPLO"),"",IF(M84="Enviado",DATEVALUE(A84)+2,""))</f>
        <v/>
      </c>
      <c r="O84" s="17" t="n"/>
    </row>
    <row r="85">
      <c r="A85" s="16" t="n"/>
      <c r="B85" s="17" t="n"/>
      <c r="C85" s="17" t="n"/>
      <c r="D85" s="17" t="n"/>
      <c r="E85" s="17" t="n"/>
      <c r="F85" s="18" t="n"/>
      <c r="G85" s="6">
        <f>IF(F85="","",IF(AND(F85&gt;=1500,F85&lt;=40000),"Sí","No"))</f>
        <v/>
      </c>
      <c r="H85" s="17" t="n"/>
      <c r="I85" s="17" t="n"/>
      <c r="J85" s="17" t="n"/>
      <c r="K85" s="17" t="n"/>
      <c r="L85" s="17" t="n"/>
      <c r="M85" s="17" t="n"/>
      <c r="N85" s="19">
        <f>IF(OR(A85="",A85="EJEMPLO"),"",IF(M85="Enviado",DATEVALUE(A85)+2,""))</f>
        <v/>
      </c>
      <c r="O85" s="17" t="n"/>
    </row>
    <row r="86">
      <c r="A86" s="16" t="n"/>
      <c r="B86" s="17" t="n"/>
      <c r="C86" s="17" t="n"/>
      <c r="D86" s="17" t="n"/>
      <c r="E86" s="17" t="n"/>
      <c r="F86" s="18" t="n"/>
      <c r="G86" s="6">
        <f>IF(F86="","",IF(AND(F86&gt;=1500,F86&lt;=40000),"Sí","No"))</f>
        <v/>
      </c>
      <c r="H86" s="17" t="n"/>
      <c r="I86" s="17" t="n"/>
      <c r="J86" s="17" t="n"/>
      <c r="K86" s="17" t="n"/>
      <c r="L86" s="17" t="n"/>
      <c r="M86" s="17" t="n"/>
      <c r="N86" s="19">
        <f>IF(OR(A86="",A86="EJEMPLO"),"",IF(M86="Enviado",DATEVALUE(A86)+2,""))</f>
        <v/>
      </c>
      <c r="O86" s="17" t="n"/>
    </row>
    <row r="87">
      <c r="A87" s="16" t="n"/>
      <c r="B87" s="17" t="n"/>
      <c r="C87" s="17" t="n"/>
      <c r="D87" s="17" t="n"/>
      <c r="E87" s="17" t="n"/>
      <c r="F87" s="18" t="n"/>
      <c r="G87" s="6">
        <f>IF(F87="","",IF(AND(F87&gt;=1500,F87&lt;=40000),"Sí","No"))</f>
        <v/>
      </c>
      <c r="H87" s="17" t="n"/>
      <c r="I87" s="17" t="n"/>
      <c r="J87" s="17" t="n"/>
      <c r="K87" s="17" t="n"/>
      <c r="L87" s="17" t="n"/>
      <c r="M87" s="17" t="n"/>
      <c r="N87" s="19">
        <f>IF(OR(A87="",A87="EJEMPLO"),"",IF(M87="Enviado",DATEVALUE(A87)+2,""))</f>
        <v/>
      </c>
      <c r="O87" s="17" t="n"/>
    </row>
    <row r="88">
      <c r="A88" s="16" t="n"/>
      <c r="B88" s="17" t="n"/>
      <c r="C88" s="17" t="n"/>
      <c r="D88" s="17" t="n"/>
      <c r="E88" s="17" t="n"/>
      <c r="F88" s="18" t="n"/>
      <c r="G88" s="6">
        <f>IF(F88="","",IF(AND(F88&gt;=1500,F88&lt;=40000),"Sí","No"))</f>
        <v/>
      </c>
      <c r="H88" s="17" t="n"/>
      <c r="I88" s="17" t="n"/>
      <c r="J88" s="17" t="n"/>
      <c r="K88" s="17" t="n"/>
      <c r="L88" s="17" t="n"/>
      <c r="M88" s="17" t="n"/>
      <c r="N88" s="19">
        <f>IF(OR(A88="",A88="EJEMPLO"),"",IF(M88="Enviado",DATEVALUE(A88)+2,""))</f>
        <v/>
      </c>
      <c r="O88" s="17" t="n"/>
    </row>
    <row r="89">
      <c r="A89" s="16" t="n"/>
      <c r="B89" s="17" t="n"/>
      <c r="C89" s="17" t="n"/>
      <c r="D89" s="17" t="n"/>
      <c r="E89" s="17" t="n"/>
      <c r="F89" s="18" t="n"/>
      <c r="G89" s="6">
        <f>IF(F89="","",IF(AND(F89&gt;=1500,F89&lt;=40000),"Sí","No"))</f>
        <v/>
      </c>
      <c r="H89" s="17" t="n"/>
      <c r="I89" s="17" t="n"/>
      <c r="J89" s="17" t="n"/>
      <c r="K89" s="17" t="n"/>
      <c r="L89" s="17" t="n"/>
      <c r="M89" s="17" t="n"/>
      <c r="N89" s="19">
        <f>IF(OR(A89="",A89="EJEMPLO"),"",IF(M89="Enviado",DATEVALUE(A89)+2,""))</f>
        <v/>
      </c>
      <c r="O89" s="17" t="n"/>
    </row>
    <row r="90">
      <c r="A90" s="16" t="n"/>
      <c r="B90" s="17" t="n"/>
      <c r="C90" s="17" t="n"/>
      <c r="D90" s="17" t="n"/>
      <c r="E90" s="17" t="n"/>
      <c r="F90" s="18" t="n"/>
      <c r="G90" s="6">
        <f>IF(F90="","",IF(AND(F90&gt;=1500,F90&lt;=40000),"Sí","No"))</f>
        <v/>
      </c>
      <c r="H90" s="17" t="n"/>
      <c r="I90" s="17" t="n"/>
      <c r="J90" s="17" t="n"/>
      <c r="K90" s="17" t="n"/>
      <c r="L90" s="17" t="n"/>
      <c r="M90" s="17" t="n"/>
      <c r="N90" s="19">
        <f>IF(OR(A90="",A90="EJEMPLO"),"",IF(M90="Enviado",DATEVALUE(A90)+2,""))</f>
        <v/>
      </c>
      <c r="O90" s="17" t="n"/>
    </row>
    <row r="91">
      <c r="A91" s="16" t="n"/>
      <c r="B91" s="17" t="n"/>
      <c r="C91" s="17" t="n"/>
      <c r="D91" s="17" t="n"/>
      <c r="E91" s="17" t="n"/>
      <c r="F91" s="18" t="n"/>
      <c r="G91" s="6">
        <f>IF(F91="","",IF(AND(F91&gt;=1500,F91&lt;=40000),"Sí","No"))</f>
        <v/>
      </c>
      <c r="H91" s="17" t="n"/>
      <c r="I91" s="17" t="n"/>
      <c r="J91" s="17" t="n"/>
      <c r="K91" s="17" t="n"/>
      <c r="L91" s="17" t="n"/>
      <c r="M91" s="17" t="n"/>
      <c r="N91" s="19">
        <f>IF(OR(A91="",A91="EJEMPLO"),"",IF(M91="Enviado",DATEVALUE(A91)+2,""))</f>
        <v/>
      </c>
      <c r="O91" s="17" t="n"/>
    </row>
    <row r="92">
      <c r="A92" s="16" t="n"/>
      <c r="B92" s="17" t="n"/>
      <c r="C92" s="17" t="n"/>
      <c r="D92" s="17" t="n"/>
      <c r="E92" s="17" t="n"/>
      <c r="F92" s="18" t="n"/>
      <c r="G92" s="6">
        <f>IF(F92="","",IF(AND(F92&gt;=1500,F92&lt;=40000),"Sí","No"))</f>
        <v/>
      </c>
      <c r="H92" s="17" t="n"/>
      <c r="I92" s="17" t="n"/>
      <c r="J92" s="17" t="n"/>
      <c r="K92" s="17" t="n"/>
      <c r="L92" s="17" t="n"/>
      <c r="M92" s="17" t="n"/>
      <c r="N92" s="19">
        <f>IF(OR(A92="",A92="EJEMPLO"),"",IF(M92="Enviado",DATEVALUE(A92)+2,""))</f>
        <v/>
      </c>
      <c r="O92" s="17" t="n"/>
    </row>
    <row r="93">
      <c r="A93" s="16" t="n"/>
      <c r="B93" s="17" t="n"/>
      <c r="C93" s="17" t="n"/>
      <c r="D93" s="17" t="n"/>
      <c r="E93" s="17" t="n"/>
      <c r="F93" s="18" t="n"/>
      <c r="G93" s="6">
        <f>IF(F93="","",IF(AND(F93&gt;=1500,F93&lt;=40000),"Sí","No"))</f>
        <v/>
      </c>
      <c r="H93" s="17" t="n"/>
      <c r="I93" s="17" t="n"/>
      <c r="J93" s="17" t="n"/>
      <c r="K93" s="17" t="n"/>
      <c r="L93" s="17" t="n"/>
      <c r="M93" s="17" t="n"/>
      <c r="N93" s="19">
        <f>IF(OR(A93="",A93="EJEMPLO"),"",IF(M93="Enviado",DATEVALUE(A93)+2,""))</f>
        <v/>
      </c>
      <c r="O93" s="17" t="n"/>
    </row>
    <row r="94">
      <c r="A94" s="16" t="n"/>
      <c r="B94" s="17" t="n"/>
      <c r="C94" s="17" t="n"/>
      <c r="D94" s="17" t="n"/>
      <c r="E94" s="17" t="n"/>
      <c r="F94" s="18" t="n"/>
      <c r="G94" s="6">
        <f>IF(F94="","",IF(AND(F94&gt;=1500,F94&lt;=40000),"Sí","No"))</f>
        <v/>
      </c>
      <c r="H94" s="17" t="n"/>
      <c r="I94" s="17" t="n"/>
      <c r="J94" s="17" t="n"/>
      <c r="K94" s="17" t="n"/>
      <c r="L94" s="17" t="n"/>
      <c r="M94" s="17" t="n"/>
      <c r="N94" s="19">
        <f>IF(OR(A94="",A94="EJEMPLO"),"",IF(M94="Enviado",DATEVALUE(A94)+2,""))</f>
        <v/>
      </c>
      <c r="O94" s="17" t="n"/>
    </row>
    <row r="95">
      <c r="A95" s="16" t="n"/>
      <c r="B95" s="17" t="n"/>
      <c r="C95" s="17" t="n"/>
      <c r="D95" s="17" t="n"/>
      <c r="E95" s="17" t="n"/>
      <c r="F95" s="18" t="n"/>
      <c r="G95" s="6">
        <f>IF(F95="","",IF(AND(F95&gt;=1500,F95&lt;=40000),"Sí","No"))</f>
        <v/>
      </c>
      <c r="H95" s="17" t="n"/>
      <c r="I95" s="17" t="n"/>
      <c r="J95" s="17" t="n"/>
      <c r="K95" s="17" t="n"/>
      <c r="L95" s="17" t="n"/>
      <c r="M95" s="17" t="n"/>
      <c r="N95" s="19">
        <f>IF(OR(A95="",A95="EJEMPLO"),"",IF(M95="Enviado",DATEVALUE(A95)+2,""))</f>
        <v/>
      </c>
      <c r="O95" s="17" t="n"/>
    </row>
    <row r="96">
      <c r="A96" s="16" t="n"/>
      <c r="B96" s="17" t="n"/>
      <c r="C96" s="17" t="n"/>
      <c r="D96" s="17" t="n"/>
      <c r="E96" s="17" t="n"/>
      <c r="F96" s="18" t="n"/>
      <c r="G96" s="6">
        <f>IF(F96="","",IF(AND(F96&gt;=1500,F96&lt;=40000),"Sí","No"))</f>
        <v/>
      </c>
      <c r="H96" s="17" t="n"/>
      <c r="I96" s="17" t="n"/>
      <c r="J96" s="17" t="n"/>
      <c r="K96" s="17" t="n"/>
      <c r="L96" s="17" t="n"/>
      <c r="M96" s="17" t="n"/>
      <c r="N96" s="19">
        <f>IF(OR(A96="",A96="EJEMPLO"),"",IF(M96="Enviado",DATEVALUE(A96)+2,""))</f>
        <v/>
      </c>
      <c r="O96" s="17" t="n"/>
    </row>
    <row r="97">
      <c r="A97" s="16" t="n"/>
      <c r="B97" s="17" t="n"/>
      <c r="C97" s="17" t="n"/>
      <c r="D97" s="17" t="n"/>
      <c r="E97" s="17" t="n"/>
      <c r="F97" s="18" t="n"/>
      <c r="G97" s="6">
        <f>IF(F97="","",IF(AND(F97&gt;=1500,F97&lt;=40000),"Sí","No"))</f>
        <v/>
      </c>
      <c r="H97" s="17" t="n"/>
      <c r="I97" s="17" t="n"/>
      <c r="J97" s="17" t="n"/>
      <c r="K97" s="17" t="n"/>
      <c r="L97" s="17" t="n"/>
      <c r="M97" s="17" t="n"/>
      <c r="N97" s="19">
        <f>IF(OR(A97="",A97="EJEMPLO"),"",IF(M97="Enviado",DATEVALUE(A97)+2,""))</f>
        <v/>
      </c>
      <c r="O97" s="17" t="n"/>
    </row>
    <row r="98">
      <c r="A98" s="16" t="n"/>
      <c r="B98" s="17" t="n"/>
      <c r="C98" s="17" t="n"/>
      <c r="D98" s="17" t="n"/>
      <c r="E98" s="17" t="n"/>
      <c r="F98" s="18" t="n"/>
      <c r="G98" s="6">
        <f>IF(F98="","",IF(AND(F98&gt;=1500,F98&lt;=40000),"Sí","No"))</f>
        <v/>
      </c>
      <c r="H98" s="17" t="n"/>
      <c r="I98" s="17" t="n"/>
      <c r="J98" s="17" t="n"/>
      <c r="K98" s="17" t="n"/>
      <c r="L98" s="17" t="n"/>
      <c r="M98" s="17" t="n"/>
      <c r="N98" s="19">
        <f>IF(OR(A98="",A98="EJEMPLO"),"",IF(M98="Enviado",DATEVALUE(A98)+2,""))</f>
        <v/>
      </c>
      <c r="O98" s="17" t="n"/>
    </row>
    <row r="99">
      <c r="A99" s="16" t="n"/>
      <c r="B99" s="17" t="n"/>
      <c r="C99" s="17" t="n"/>
      <c r="D99" s="17" t="n"/>
      <c r="E99" s="17" t="n"/>
      <c r="F99" s="18" t="n"/>
      <c r="G99" s="6">
        <f>IF(F99="","",IF(AND(F99&gt;=1500,F99&lt;=40000),"Sí","No"))</f>
        <v/>
      </c>
      <c r="H99" s="17" t="n"/>
      <c r="I99" s="17" t="n"/>
      <c r="J99" s="17" t="n"/>
      <c r="K99" s="17" t="n"/>
      <c r="L99" s="17" t="n"/>
      <c r="M99" s="17" t="n"/>
      <c r="N99" s="19">
        <f>IF(OR(A99="",A99="EJEMPLO"),"",IF(M99="Enviado",DATEVALUE(A99)+2,""))</f>
        <v/>
      </c>
      <c r="O99" s="17" t="n"/>
    </row>
    <row r="100">
      <c r="A100" s="16" t="n"/>
      <c r="B100" s="17" t="n"/>
      <c r="C100" s="17" t="n"/>
      <c r="D100" s="17" t="n"/>
      <c r="E100" s="17" t="n"/>
      <c r="F100" s="18" t="n"/>
      <c r="G100" s="6">
        <f>IF(F100="","",IF(AND(F100&gt;=1500,F100&lt;=40000),"Sí","No"))</f>
        <v/>
      </c>
      <c r="H100" s="17" t="n"/>
      <c r="I100" s="17" t="n"/>
      <c r="J100" s="17" t="n"/>
      <c r="K100" s="17" t="n"/>
      <c r="L100" s="17" t="n"/>
      <c r="M100" s="17" t="n"/>
      <c r="N100" s="19">
        <f>IF(OR(A100="",A100="EJEMPLO"),"",IF(M100="Enviado",DATEVALUE(A100)+2,""))</f>
        <v/>
      </c>
      <c r="O100" s="17" t="n"/>
    </row>
    <row r="101">
      <c r="A101" s="16" t="n"/>
      <c r="B101" s="17" t="n"/>
      <c r="C101" s="17" t="n"/>
      <c r="D101" s="17" t="n"/>
      <c r="E101" s="17" t="n"/>
      <c r="F101" s="18" t="n"/>
      <c r="G101" s="6">
        <f>IF(F101="","",IF(AND(F101&gt;=1500,F101&lt;=40000),"Sí","No"))</f>
        <v/>
      </c>
      <c r="H101" s="17" t="n"/>
      <c r="I101" s="17" t="n"/>
      <c r="J101" s="17" t="n"/>
      <c r="K101" s="17" t="n"/>
      <c r="L101" s="17" t="n"/>
      <c r="M101" s="17" t="n"/>
      <c r="N101" s="19">
        <f>IF(OR(A101="",A101="EJEMPLO"),"",IF(M101="Enviado",DATEVALUE(A101)+2,""))</f>
        <v/>
      </c>
      <c r="O101" s="17" t="n"/>
    </row>
    <row r="102">
      <c r="A102" s="16" t="n"/>
      <c r="B102" s="17" t="n"/>
      <c r="C102" s="17" t="n"/>
      <c r="D102" s="17" t="n"/>
      <c r="E102" s="17" t="n"/>
      <c r="F102" s="18" t="n"/>
      <c r="G102" s="6">
        <f>IF(F102="","",IF(AND(F102&gt;=1500,F102&lt;=40000),"Sí","No"))</f>
        <v/>
      </c>
      <c r="H102" s="17" t="n"/>
      <c r="I102" s="17" t="n"/>
      <c r="J102" s="17" t="n"/>
      <c r="K102" s="17" t="n"/>
      <c r="L102" s="17" t="n"/>
      <c r="M102" s="17" t="n"/>
      <c r="N102" s="19">
        <f>IF(OR(A102="",A102="EJEMPLO"),"",IF(M102="Enviado",DATEVALUE(A102)+2,""))</f>
        <v/>
      </c>
      <c r="O102" s="17" t="n"/>
    </row>
    <row r="103">
      <c r="A103" s="16" t="n"/>
      <c r="B103" s="17" t="n"/>
      <c r="C103" s="17" t="n"/>
      <c r="D103" s="17" t="n"/>
      <c r="E103" s="17" t="n"/>
      <c r="F103" s="18" t="n"/>
      <c r="G103" s="6">
        <f>IF(F103="","",IF(AND(F103&gt;=1500,F103&lt;=40000),"Sí","No"))</f>
        <v/>
      </c>
      <c r="H103" s="17" t="n"/>
      <c r="I103" s="17" t="n"/>
      <c r="J103" s="17" t="n"/>
      <c r="K103" s="17" t="n"/>
      <c r="L103" s="17" t="n"/>
      <c r="M103" s="17" t="n"/>
      <c r="N103" s="19">
        <f>IF(OR(A103="",A103="EJEMPLO"),"",IF(M103="Enviado",DATEVALUE(A103)+2,""))</f>
        <v/>
      </c>
      <c r="O103" s="17" t="n"/>
    </row>
    <row r="104">
      <c r="A104" s="16" t="n"/>
      <c r="B104" s="17" t="n"/>
      <c r="C104" s="17" t="n"/>
      <c r="D104" s="17" t="n"/>
      <c r="E104" s="17" t="n"/>
      <c r="F104" s="18" t="n"/>
      <c r="G104" s="6">
        <f>IF(F104="","",IF(AND(F104&gt;=1500,F104&lt;=40000),"Sí","No"))</f>
        <v/>
      </c>
      <c r="H104" s="17" t="n"/>
      <c r="I104" s="17" t="n"/>
      <c r="J104" s="17" t="n"/>
      <c r="K104" s="17" t="n"/>
      <c r="L104" s="17" t="n"/>
      <c r="M104" s="17" t="n"/>
      <c r="N104" s="19">
        <f>IF(OR(A104="",A104="EJEMPLO"),"",IF(M104="Enviado",DATEVALUE(A104)+2,""))</f>
        <v/>
      </c>
      <c r="O104" s="17" t="n"/>
    </row>
    <row r="105">
      <c r="A105" s="16" t="n"/>
      <c r="B105" s="17" t="n"/>
      <c r="C105" s="17" t="n"/>
      <c r="D105" s="17" t="n"/>
      <c r="E105" s="17" t="n"/>
      <c r="F105" s="18" t="n"/>
      <c r="G105" s="6">
        <f>IF(F105="","",IF(AND(F105&gt;=1500,F105&lt;=40000),"Sí","No"))</f>
        <v/>
      </c>
      <c r="H105" s="17" t="n"/>
      <c r="I105" s="17" t="n"/>
      <c r="J105" s="17" t="n"/>
      <c r="K105" s="17" t="n"/>
      <c r="L105" s="17" t="n"/>
      <c r="M105" s="17" t="n"/>
      <c r="N105" s="19">
        <f>IF(OR(A105="",A105="EJEMPLO"),"",IF(M105="Enviado",DATEVALUE(A105)+2,""))</f>
        <v/>
      </c>
      <c r="O105" s="17" t="n"/>
    </row>
    <row r="106">
      <c r="A106" s="16" t="n"/>
      <c r="B106" s="17" t="n"/>
      <c r="C106" s="17" t="n"/>
      <c r="D106" s="17" t="n"/>
      <c r="E106" s="17" t="n"/>
      <c r="F106" s="18" t="n"/>
      <c r="G106" s="6">
        <f>IF(F106="","",IF(AND(F106&gt;=1500,F106&lt;=40000),"Sí","No"))</f>
        <v/>
      </c>
      <c r="H106" s="17" t="n"/>
      <c r="I106" s="17" t="n"/>
      <c r="J106" s="17" t="n"/>
      <c r="K106" s="17" t="n"/>
      <c r="L106" s="17" t="n"/>
      <c r="M106" s="17" t="n"/>
      <c r="N106" s="19">
        <f>IF(OR(A106="",A106="EJEMPLO"),"",IF(M106="Enviado",DATEVALUE(A106)+2,""))</f>
        <v/>
      </c>
      <c r="O106" s="17" t="n"/>
    </row>
    <row r="107">
      <c r="A107" s="16" t="n"/>
      <c r="B107" s="17" t="n"/>
      <c r="C107" s="17" t="n"/>
      <c r="D107" s="17" t="n"/>
      <c r="E107" s="17" t="n"/>
      <c r="F107" s="18" t="n"/>
      <c r="G107" s="6">
        <f>IF(F107="","",IF(AND(F107&gt;=1500,F107&lt;=40000),"Sí","No"))</f>
        <v/>
      </c>
      <c r="H107" s="17" t="n"/>
      <c r="I107" s="17" t="n"/>
      <c r="J107" s="17" t="n"/>
      <c r="K107" s="17" t="n"/>
      <c r="L107" s="17" t="n"/>
      <c r="M107" s="17" t="n"/>
      <c r="N107" s="19">
        <f>IF(OR(A107="",A107="EJEMPLO"),"",IF(M107="Enviado",DATEVALUE(A107)+2,""))</f>
        <v/>
      </c>
      <c r="O107" s="17" t="n"/>
    </row>
    <row r="108">
      <c r="A108" s="16" t="n"/>
      <c r="B108" s="17" t="n"/>
      <c r="C108" s="17" t="n"/>
      <c r="D108" s="17" t="n"/>
      <c r="E108" s="17" t="n"/>
      <c r="F108" s="18" t="n"/>
      <c r="G108" s="6">
        <f>IF(F108="","",IF(AND(F108&gt;=1500,F108&lt;=40000),"Sí","No"))</f>
        <v/>
      </c>
      <c r="H108" s="17" t="n"/>
      <c r="I108" s="17" t="n"/>
      <c r="J108" s="17" t="n"/>
      <c r="K108" s="17" t="n"/>
      <c r="L108" s="17" t="n"/>
      <c r="M108" s="17" t="n"/>
      <c r="N108" s="19">
        <f>IF(OR(A108="",A108="EJEMPLO"),"",IF(M108="Enviado",DATEVALUE(A108)+2,""))</f>
        <v/>
      </c>
      <c r="O108" s="17" t="n"/>
    </row>
    <row r="109">
      <c r="A109" s="16" t="n"/>
      <c r="B109" s="17" t="n"/>
      <c r="C109" s="17" t="n"/>
      <c r="D109" s="17" t="n"/>
      <c r="E109" s="17" t="n"/>
      <c r="F109" s="18" t="n"/>
      <c r="G109" s="6">
        <f>IF(F109="","",IF(AND(F109&gt;=1500,F109&lt;=40000),"Sí","No"))</f>
        <v/>
      </c>
      <c r="H109" s="17" t="n"/>
      <c r="I109" s="17" t="n"/>
      <c r="J109" s="17" t="n"/>
      <c r="K109" s="17" t="n"/>
      <c r="L109" s="17" t="n"/>
      <c r="M109" s="17" t="n"/>
      <c r="N109" s="19">
        <f>IF(OR(A109="",A109="EJEMPLO"),"",IF(M109="Enviado",DATEVALUE(A109)+2,""))</f>
        <v/>
      </c>
      <c r="O109" s="17" t="n"/>
    </row>
    <row r="110">
      <c r="A110" s="16" t="n"/>
      <c r="B110" s="17" t="n"/>
      <c r="C110" s="17" t="n"/>
      <c r="D110" s="17" t="n"/>
      <c r="E110" s="17" t="n"/>
      <c r="F110" s="18" t="n"/>
      <c r="G110" s="6">
        <f>IF(F110="","",IF(AND(F110&gt;=1500,F110&lt;=40000),"Sí","No"))</f>
        <v/>
      </c>
      <c r="H110" s="17" t="n"/>
      <c r="I110" s="17" t="n"/>
      <c r="J110" s="17" t="n"/>
      <c r="K110" s="17" t="n"/>
      <c r="L110" s="17" t="n"/>
      <c r="M110" s="17" t="n"/>
      <c r="N110" s="19">
        <f>IF(OR(A110="",A110="EJEMPLO"),"",IF(M110="Enviado",DATEVALUE(A110)+2,""))</f>
        <v/>
      </c>
      <c r="O110" s="17" t="n"/>
    </row>
    <row r="111">
      <c r="A111" s="16" t="n"/>
      <c r="B111" s="17" t="n"/>
      <c r="C111" s="17" t="n"/>
      <c r="D111" s="17" t="n"/>
      <c r="E111" s="17" t="n"/>
      <c r="F111" s="18" t="n"/>
      <c r="G111" s="6">
        <f>IF(F111="","",IF(AND(F111&gt;=1500,F111&lt;=40000),"Sí","No"))</f>
        <v/>
      </c>
      <c r="H111" s="17" t="n"/>
      <c r="I111" s="17" t="n"/>
      <c r="J111" s="17" t="n"/>
      <c r="K111" s="17" t="n"/>
      <c r="L111" s="17" t="n"/>
      <c r="M111" s="17" t="n"/>
      <c r="N111" s="19">
        <f>IF(OR(A111="",A111="EJEMPLO"),"",IF(M111="Enviado",DATEVALUE(A111)+2,""))</f>
        <v/>
      </c>
      <c r="O111" s="17" t="n"/>
    </row>
    <row r="112">
      <c r="A112" s="16" t="n"/>
      <c r="B112" s="17" t="n"/>
      <c r="C112" s="17" t="n"/>
      <c r="D112" s="17" t="n"/>
      <c r="E112" s="17" t="n"/>
      <c r="F112" s="18" t="n"/>
      <c r="G112" s="6">
        <f>IF(F112="","",IF(AND(F112&gt;=1500,F112&lt;=40000),"Sí","No"))</f>
        <v/>
      </c>
      <c r="H112" s="17" t="n"/>
      <c r="I112" s="17" t="n"/>
      <c r="J112" s="17" t="n"/>
      <c r="K112" s="17" t="n"/>
      <c r="L112" s="17" t="n"/>
      <c r="M112" s="17" t="n"/>
      <c r="N112" s="19">
        <f>IF(OR(A112="",A112="EJEMPLO"),"",IF(M112="Enviado",DATEVALUE(A112)+2,""))</f>
        <v/>
      </c>
      <c r="O112" s="17" t="n"/>
    </row>
    <row r="113">
      <c r="A113" s="16" t="n"/>
      <c r="B113" s="17" t="n"/>
      <c r="C113" s="17" t="n"/>
      <c r="D113" s="17" t="n"/>
      <c r="E113" s="17" t="n"/>
      <c r="F113" s="18" t="n"/>
      <c r="G113" s="6">
        <f>IF(F113="","",IF(AND(F113&gt;=1500,F113&lt;=40000),"Sí","No"))</f>
        <v/>
      </c>
      <c r="H113" s="17" t="n"/>
      <c r="I113" s="17" t="n"/>
      <c r="J113" s="17" t="n"/>
      <c r="K113" s="17" t="n"/>
      <c r="L113" s="17" t="n"/>
      <c r="M113" s="17" t="n"/>
      <c r="N113" s="19">
        <f>IF(OR(A113="",A113="EJEMPLO"),"",IF(M113="Enviado",DATEVALUE(A113)+2,""))</f>
        <v/>
      </c>
      <c r="O113" s="17" t="n"/>
    </row>
    <row r="114">
      <c r="A114" s="16" t="n"/>
      <c r="B114" s="17" t="n"/>
      <c r="C114" s="17" t="n"/>
      <c r="D114" s="17" t="n"/>
      <c r="E114" s="17" t="n"/>
      <c r="F114" s="18" t="n"/>
      <c r="G114" s="6">
        <f>IF(F114="","",IF(AND(F114&gt;=1500,F114&lt;=40000),"Sí","No"))</f>
        <v/>
      </c>
      <c r="H114" s="17" t="n"/>
      <c r="I114" s="17" t="n"/>
      <c r="J114" s="17" t="n"/>
      <c r="K114" s="17" t="n"/>
      <c r="L114" s="17" t="n"/>
      <c r="M114" s="17" t="n"/>
      <c r="N114" s="19">
        <f>IF(OR(A114="",A114="EJEMPLO"),"",IF(M114="Enviado",DATEVALUE(A114)+2,""))</f>
        <v/>
      </c>
      <c r="O114" s="17" t="n"/>
    </row>
    <row r="115">
      <c r="A115" s="16" t="n"/>
      <c r="B115" s="17" t="n"/>
      <c r="C115" s="17" t="n"/>
      <c r="D115" s="17" t="n"/>
      <c r="E115" s="17" t="n"/>
      <c r="F115" s="18" t="n"/>
      <c r="G115" s="6">
        <f>IF(F115="","",IF(AND(F115&gt;=1500,F115&lt;=40000),"Sí","No"))</f>
        <v/>
      </c>
      <c r="H115" s="17" t="n"/>
      <c r="I115" s="17" t="n"/>
      <c r="J115" s="17" t="n"/>
      <c r="K115" s="17" t="n"/>
      <c r="L115" s="17" t="n"/>
      <c r="M115" s="17" t="n"/>
      <c r="N115" s="19">
        <f>IF(OR(A115="",A115="EJEMPLO"),"",IF(M115="Enviado",DATEVALUE(A115)+2,""))</f>
        <v/>
      </c>
      <c r="O115" s="17" t="n"/>
    </row>
    <row r="116">
      <c r="A116" s="16" t="n"/>
      <c r="B116" s="17" t="n"/>
      <c r="C116" s="17" t="n"/>
      <c r="D116" s="17" t="n"/>
      <c r="E116" s="17" t="n"/>
      <c r="F116" s="18" t="n"/>
      <c r="G116" s="6">
        <f>IF(F116="","",IF(AND(F116&gt;=1500,F116&lt;=40000),"Sí","No"))</f>
        <v/>
      </c>
      <c r="H116" s="17" t="n"/>
      <c r="I116" s="17" t="n"/>
      <c r="J116" s="17" t="n"/>
      <c r="K116" s="17" t="n"/>
      <c r="L116" s="17" t="n"/>
      <c r="M116" s="17" t="n"/>
      <c r="N116" s="19">
        <f>IF(OR(A116="",A116="EJEMPLO"),"",IF(M116="Enviado",DATEVALUE(A116)+2,""))</f>
        <v/>
      </c>
      <c r="O116" s="17" t="n"/>
    </row>
    <row r="117">
      <c r="A117" s="16" t="n"/>
      <c r="B117" s="17" t="n"/>
      <c r="C117" s="17" t="n"/>
      <c r="D117" s="17" t="n"/>
      <c r="E117" s="17" t="n"/>
      <c r="F117" s="18" t="n"/>
      <c r="G117" s="6">
        <f>IF(F117="","",IF(AND(F117&gt;=1500,F117&lt;=40000),"Sí","No"))</f>
        <v/>
      </c>
      <c r="H117" s="17" t="n"/>
      <c r="I117" s="17" t="n"/>
      <c r="J117" s="17" t="n"/>
      <c r="K117" s="17" t="n"/>
      <c r="L117" s="17" t="n"/>
      <c r="M117" s="17" t="n"/>
      <c r="N117" s="19">
        <f>IF(OR(A117="",A117="EJEMPLO"),"",IF(M117="Enviado",DATEVALUE(A117)+2,""))</f>
        <v/>
      </c>
      <c r="O117" s="17" t="n"/>
    </row>
    <row r="118">
      <c r="A118" s="16" t="n"/>
      <c r="B118" s="17" t="n"/>
      <c r="C118" s="17" t="n"/>
      <c r="D118" s="17" t="n"/>
      <c r="E118" s="17" t="n"/>
      <c r="F118" s="18" t="n"/>
      <c r="G118" s="6">
        <f>IF(F118="","",IF(AND(F118&gt;=1500,F118&lt;=40000),"Sí","No"))</f>
        <v/>
      </c>
      <c r="H118" s="17" t="n"/>
      <c r="I118" s="17" t="n"/>
      <c r="J118" s="17" t="n"/>
      <c r="K118" s="17" t="n"/>
      <c r="L118" s="17" t="n"/>
      <c r="M118" s="17" t="n"/>
      <c r="N118" s="19">
        <f>IF(OR(A118="",A118="EJEMPLO"),"",IF(M118="Enviado",DATEVALUE(A118)+2,""))</f>
        <v/>
      </c>
      <c r="O118" s="17" t="n"/>
    </row>
    <row r="119">
      <c r="A119" s="16" t="n"/>
      <c r="B119" s="17" t="n"/>
      <c r="C119" s="17" t="n"/>
      <c r="D119" s="17" t="n"/>
      <c r="E119" s="17" t="n"/>
      <c r="F119" s="18" t="n"/>
      <c r="G119" s="6">
        <f>IF(F119="","",IF(AND(F119&gt;=1500,F119&lt;=40000),"Sí","No"))</f>
        <v/>
      </c>
      <c r="H119" s="17" t="n"/>
      <c r="I119" s="17" t="n"/>
      <c r="J119" s="17" t="n"/>
      <c r="K119" s="17" t="n"/>
      <c r="L119" s="17" t="n"/>
      <c r="M119" s="17" t="n"/>
      <c r="N119" s="19">
        <f>IF(OR(A119="",A119="EJEMPLO"),"",IF(M119="Enviado",DATEVALUE(A119)+2,""))</f>
        <v/>
      </c>
      <c r="O119" s="17" t="n"/>
    </row>
    <row r="120">
      <c r="A120" s="16" t="n"/>
      <c r="B120" s="17" t="n"/>
      <c r="C120" s="17" t="n"/>
      <c r="D120" s="17" t="n"/>
      <c r="E120" s="17" t="n"/>
      <c r="F120" s="18" t="n"/>
      <c r="G120" s="6">
        <f>IF(F120="","",IF(AND(F120&gt;=1500,F120&lt;=40000),"Sí","No"))</f>
        <v/>
      </c>
      <c r="H120" s="17" t="n"/>
      <c r="I120" s="17" t="n"/>
      <c r="J120" s="17" t="n"/>
      <c r="K120" s="17" t="n"/>
      <c r="L120" s="17" t="n"/>
      <c r="M120" s="17" t="n"/>
      <c r="N120" s="19">
        <f>IF(OR(A120="",A120="EJEMPLO"),"",IF(M120="Enviado",DATEVALUE(A120)+2,""))</f>
        <v/>
      </c>
      <c r="O120" s="17" t="n"/>
    </row>
    <row r="121">
      <c r="A121" s="16" t="n"/>
      <c r="B121" s="17" t="n"/>
      <c r="C121" s="17" t="n"/>
      <c r="D121" s="17" t="n"/>
      <c r="E121" s="17" t="n"/>
      <c r="F121" s="18" t="n"/>
      <c r="G121" s="6">
        <f>IF(F121="","",IF(AND(F121&gt;=1500,F121&lt;=40000),"Sí","No"))</f>
        <v/>
      </c>
      <c r="H121" s="17" t="n"/>
      <c r="I121" s="17" t="n"/>
      <c r="J121" s="17" t="n"/>
      <c r="K121" s="17" t="n"/>
      <c r="L121" s="17" t="n"/>
      <c r="M121" s="17" t="n"/>
      <c r="N121" s="19">
        <f>IF(OR(A121="",A121="EJEMPLO"),"",IF(M121="Enviado",DATEVALUE(A121)+2,""))</f>
        <v/>
      </c>
      <c r="O121" s="17" t="n"/>
    </row>
    <row r="122">
      <c r="A122" s="16" t="n"/>
      <c r="B122" s="17" t="n"/>
      <c r="C122" s="17" t="n"/>
      <c r="D122" s="17" t="n"/>
      <c r="E122" s="17" t="n"/>
      <c r="F122" s="18" t="n"/>
      <c r="G122" s="6">
        <f>IF(F122="","",IF(AND(F122&gt;=1500,F122&lt;=40000),"Sí","No"))</f>
        <v/>
      </c>
      <c r="H122" s="17" t="n"/>
      <c r="I122" s="17" t="n"/>
      <c r="J122" s="17" t="n"/>
      <c r="K122" s="17" t="n"/>
      <c r="L122" s="17" t="n"/>
      <c r="M122" s="17" t="n"/>
      <c r="N122" s="19">
        <f>IF(OR(A122="",A122="EJEMPLO"),"",IF(M122="Enviado",DATEVALUE(A122)+2,""))</f>
        <v/>
      </c>
      <c r="O122" s="17" t="n"/>
    </row>
    <row r="123">
      <c r="A123" s="16" t="n"/>
      <c r="B123" s="17" t="n"/>
      <c r="C123" s="17" t="n"/>
      <c r="D123" s="17" t="n"/>
      <c r="E123" s="17" t="n"/>
      <c r="F123" s="18" t="n"/>
      <c r="G123" s="6">
        <f>IF(F123="","",IF(AND(F123&gt;=1500,F123&lt;=40000),"Sí","No"))</f>
        <v/>
      </c>
      <c r="H123" s="17" t="n"/>
      <c r="I123" s="17" t="n"/>
      <c r="J123" s="17" t="n"/>
      <c r="K123" s="17" t="n"/>
      <c r="L123" s="17" t="n"/>
      <c r="M123" s="17" t="n"/>
      <c r="N123" s="19">
        <f>IF(OR(A123="",A123="EJEMPLO"),"",IF(M123="Enviado",DATEVALUE(A123)+2,""))</f>
        <v/>
      </c>
      <c r="O123" s="17" t="n"/>
    </row>
    <row r="124">
      <c r="A124" s="16" t="n"/>
      <c r="B124" s="17" t="n"/>
      <c r="C124" s="17" t="n"/>
      <c r="D124" s="17" t="n"/>
      <c r="E124" s="17" t="n"/>
      <c r="F124" s="18" t="n"/>
      <c r="G124" s="6">
        <f>IF(F124="","",IF(AND(F124&gt;=1500,F124&lt;=40000),"Sí","No"))</f>
        <v/>
      </c>
      <c r="H124" s="17" t="n"/>
      <c r="I124" s="17" t="n"/>
      <c r="J124" s="17" t="n"/>
      <c r="K124" s="17" t="n"/>
      <c r="L124" s="17" t="n"/>
      <c r="M124" s="17" t="n"/>
      <c r="N124" s="19">
        <f>IF(OR(A124="",A124="EJEMPLO"),"",IF(M124="Enviado",DATEVALUE(A124)+2,""))</f>
        <v/>
      </c>
      <c r="O124" s="17" t="n"/>
    </row>
    <row r="125">
      <c r="A125" s="16" t="n"/>
      <c r="B125" s="17" t="n"/>
      <c r="C125" s="17" t="n"/>
      <c r="D125" s="17" t="n"/>
      <c r="E125" s="17" t="n"/>
      <c r="F125" s="18" t="n"/>
      <c r="G125" s="6">
        <f>IF(F125="","",IF(AND(F125&gt;=1500,F125&lt;=40000),"Sí","No"))</f>
        <v/>
      </c>
      <c r="H125" s="17" t="n"/>
      <c r="I125" s="17" t="n"/>
      <c r="J125" s="17" t="n"/>
      <c r="K125" s="17" t="n"/>
      <c r="L125" s="17" t="n"/>
      <c r="M125" s="17" t="n"/>
      <c r="N125" s="19">
        <f>IF(OR(A125="",A125="EJEMPLO"),"",IF(M125="Enviado",DATEVALUE(A125)+2,""))</f>
        <v/>
      </c>
      <c r="O125" s="17" t="n"/>
    </row>
    <row r="126">
      <c r="A126" s="16" t="n"/>
      <c r="B126" s="17" t="n"/>
      <c r="C126" s="17" t="n"/>
      <c r="D126" s="17" t="n"/>
      <c r="E126" s="17" t="n"/>
      <c r="F126" s="18" t="n"/>
      <c r="G126" s="6">
        <f>IF(F126="","",IF(AND(F126&gt;=1500,F126&lt;=40000),"Sí","No"))</f>
        <v/>
      </c>
      <c r="H126" s="17" t="n"/>
      <c r="I126" s="17" t="n"/>
      <c r="J126" s="17" t="n"/>
      <c r="K126" s="17" t="n"/>
      <c r="L126" s="17" t="n"/>
      <c r="M126" s="17" t="n"/>
      <c r="N126" s="19">
        <f>IF(OR(A126="",A126="EJEMPLO"),"",IF(M126="Enviado",DATEVALUE(A126)+2,""))</f>
        <v/>
      </c>
      <c r="O126" s="17" t="n"/>
    </row>
    <row r="127">
      <c r="A127" s="16" t="n"/>
      <c r="B127" s="17" t="n"/>
      <c r="C127" s="17" t="n"/>
      <c r="D127" s="17" t="n"/>
      <c r="E127" s="17" t="n"/>
      <c r="F127" s="18" t="n"/>
      <c r="G127" s="6">
        <f>IF(F127="","",IF(AND(F127&gt;=1500,F127&lt;=40000),"Sí","No"))</f>
        <v/>
      </c>
      <c r="H127" s="17" t="n"/>
      <c r="I127" s="17" t="n"/>
      <c r="J127" s="17" t="n"/>
      <c r="K127" s="17" t="n"/>
      <c r="L127" s="17" t="n"/>
      <c r="M127" s="17" t="n"/>
      <c r="N127" s="19">
        <f>IF(OR(A127="",A127="EJEMPLO"),"",IF(M127="Enviado",DATEVALUE(A127)+2,""))</f>
        <v/>
      </c>
      <c r="O127" s="17" t="n"/>
    </row>
    <row r="128">
      <c r="A128" s="16" t="n"/>
      <c r="B128" s="17" t="n"/>
      <c r="C128" s="17" t="n"/>
      <c r="D128" s="17" t="n"/>
      <c r="E128" s="17" t="n"/>
      <c r="F128" s="18" t="n"/>
      <c r="G128" s="6">
        <f>IF(F128="","",IF(AND(F128&gt;=1500,F128&lt;=40000),"Sí","No"))</f>
        <v/>
      </c>
      <c r="H128" s="17" t="n"/>
      <c r="I128" s="17" t="n"/>
      <c r="J128" s="17" t="n"/>
      <c r="K128" s="17" t="n"/>
      <c r="L128" s="17" t="n"/>
      <c r="M128" s="17" t="n"/>
      <c r="N128" s="19">
        <f>IF(OR(A128="",A128="EJEMPLO"),"",IF(M128="Enviado",DATEVALUE(A128)+2,""))</f>
        <v/>
      </c>
      <c r="O128" s="17" t="n"/>
    </row>
    <row r="129">
      <c r="A129" s="16" t="n"/>
      <c r="B129" s="17" t="n"/>
      <c r="C129" s="17" t="n"/>
      <c r="D129" s="17" t="n"/>
      <c r="E129" s="17" t="n"/>
      <c r="F129" s="18" t="n"/>
      <c r="G129" s="6">
        <f>IF(F129="","",IF(AND(F129&gt;=1500,F129&lt;=40000),"Sí","No"))</f>
        <v/>
      </c>
      <c r="H129" s="17" t="n"/>
      <c r="I129" s="17" t="n"/>
      <c r="J129" s="17" t="n"/>
      <c r="K129" s="17" t="n"/>
      <c r="L129" s="17" t="n"/>
      <c r="M129" s="17" t="n"/>
      <c r="N129" s="19">
        <f>IF(OR(A129="",A129="EJEMPLO"),"",IF(M129="Enviado",DATEVALUE(A129)+2,""))</f>
        <v/>
      </c>
      <c r="O129" s="17" t="n"/>
    </row>
    <row r="130">
      <c r="A130" s="16" t="n"/>
      <c r="B130" s="17" t="n"/>
      <c r="C130" s="17" t="n"/>
      <c r="D130" s="17" t="n"/>
      <c r="E130" s="17" t="n"/>
      <c r="F130" s="18" t="n"/>
      <c r="G130" s="6">
        <f>IF(F130="","",IF(AND(F130&gt;=1500,F130&lt;=40000),"Sí","No"))</f>
        <v/>
      </c>
      <c r="H130" s="17" t="n"/>
      <c r="I130" s="17" t="n"/>
      <c r="J130" s="17" t="n"/>
      <c r="K130" s="17" t="n"/>
      <c r="L130" s="17" t="n"/>
      <c r="M130" s="17" t="n"/>
      <c r="N130" s="19">
        <f>IF(OR(A130="",A130="EJEMPLO"),"",IF(M130="Enviado",DATEVALUE(A130)+2,""))</f>
        <v/>
      </c>
      <c r="O130" s="17" t="n"/>
    </row>
    <row r="131">
      <c r="A131" s="16" t="n"/>
      <c r="B131" s="17" t="n"/>
      <c r="C131" s="17" t="n"/>
      <c r="D131" s="17" t="n"/>
      <c r="E131" s="17" t="n"/>
      <c r="F131" s="18" t="n"/>
      <c r="G131" s="6">
        <f>IF(F131="","",IF(AND(F131&gt;=1500,F131&lt;=40000),"Sí","No"))</f>
        <v/>
      </c>
      <c r="H131" s="17" t="n"/>
      <c r="I131" s="17" t="n"/>
      <c r="J131" s="17" t="n"/>
      <c r="K131" s="17" t="n"/>
      <c r="L131" s="17" t="n"/>
      <c r="M131" s="17" t="n"/>
      <c r="N131" s="19">
        <f>IF(OR(A131="",A131="EJEMPLO"),"",IF(M131="Enviado",DATEVALUE(A131)+2,""))</f>
        <v/>
      </c>
      <c r="O131" s="17" t="n"/>
    </row>
    <row r="132">
      <c r="A132" s="16" t="n"/>
      <c r="B132" s="17" t="n"/>
      <c r="C132" s="17" t="n"/>
      <c r="D132" s="17" t="n"/>
      <c r="E132" s="17" t="n"/>
      <c r="F132" s="18" t="n"/>
      <c r="G132" s="6">
        <f>IF(F132="","",IF(AND(F132&gt;=1500,F132&lt;=40000),"Sí","No"))</f>
        <v/>
      </c>
      <c r="H132" s="17" t="n"/>
      <c r="I132" s="17" t="n"/>
      <c r="J132" s="17" t="n"/>
      <c r="K132" s="17" t="n"/>
      <c r="L132" s="17" t="n"/>
      <c r="M132" s="17" t="n"/>
      <c r="N132" s="19">
        <f>IF(OR(A132="",A132="EJEMPLO"),"",IF(M132="Enviado",DATEVALUE(A132)+2,""))</f>
        <v/>
      </c>
      <c r="O132" s="17" t="n"/>
    </row>
    <row r="133">
      <c r="A133" s="16" t="n"/>
      <c r="B133" s="17" t="n"/>
      <c r="C133" s="17" t="n"/>
      <c r="D133" s="17" t="n"/>
      <c r="E133" s="17" t="n"/>
      <c r="F133" s="18" t="n"/>
      <c r="G133" s="6">
        <f>IF(F133="","",IF(AND(F133&gt;=1500,F133&lt;=40000),"Sí","No"))</f>
        <v/>
      </c>
      <c r="H133" s="17" t="n"/>
      <c r="I133" s="17" t="n"/>
      <c r="J133" s="17" t="n"/>
      <c r="K133" s="17" t="n"/>
      <c r="L133" s="17" t="n"/>
      <c r="M133" s="17" t="n"/>
      <c r="N133" s="19">
        <f>IF(OR(A133="",A133="EJEMPLO"),"",IF(M133="Enviado",DATEVALUE(A133)+2,""))</f>
        <v/>
      </c>
      <c r="O133" s="17" t="n"/>
    </row>
    <row r="134">
      <c r="A134" s="16" t="n"/>
      <c r="B134" s="17" t="n"/>
      <c r="C134" s="17" t="n"/>
      <c r="D134" s="17" t="n"/>
      <c r="E134" s="17" t="n"/>
      <c r="F134" s="18" t="n"/>
      <c r="G134" s="6">
        <f>IF(F134="","",IF(AND(F134&gt;=1500,F134&lt;=40000),"Sí","No"))</f>
        <v/>
      </c>
      <c r="H134" s="17" t="n"/>
      <c r="I134" s="17" t="n"/>
      <c r="J134" s="17" t="n"/>
      <c r="K134" s="17" t="n"/>
      <c r="L134" s="17" t="n"/>
      <c r="M134" s="17" t="n"/>
      <c r="N134" s="19">
        <f>IF(OR(A134="",A134="EJEMPLO"),"",IF(M134="Enviado",DATEVALUE(A134)+2,""))</f>
        <v/>
      </c>
      <c r="O134" s="17" t="n"/>
    </row>
    <row r="135">
      <c r="A135" s="16" t="n"/>
      <c r="B135" s="17" t="n"/>
      <c r="C135" s="17" t="n"/>
      <c r="D135" s="17" t="n"/>
      <c r="E135" s="17" t="n"/>
      <c r="F135" s="18" t="n"/>
      <c r="G135" s="6">
        <f>IF(F135="","",IF(AND(F135&gt;=1500,F135&lt;=40000),"Sí","No"))</f>
        <v/>
      </c>
      <c r="H135" s="17" t="n"/>
      <c r="I135" s="17" t="n"/>
      <c r="J135" s="17" t="n"/>
      <c r="K135" s="17" t="n"/>
      <c r="L135" s="17" t="n"/>
      <c r="M135" s="17" t="n"/>
      <c r="N135" s="19">
        <f>IF(OR(A135="",A135="EJEMPLO"),"",IF(M135="Enviado",DATEVALUE(A135)+2,""))</f>
        <v/>
      </c>
      <c r="O135" s="17" t="n"/>
    </row>
    <row r="136">
      <c r="A136" s="16" t="n"/>
      <c r="B136" s="17" t="n"/>
      <c r="C136" s="17" t="n"/>
      <c r="D136" s="17" t="n"/>
      <c r="E136" s="17" t="n"/>
      <c r="F136" s="18" t="n"/>
      <c r="G136" s="6">
        <f>IF(F136="","",IF(AND(F136&gt;=1500,F136&lt;=40000),"Sí","No"))</f>
        <v/>
      </c>
      <c r="H136" s="17" t="n"/>
      <c r="I136" s="17" t="n"/>
      <c r="J136" s="17" t="n"/>
      <c r="K136" s="17" t="n"/>
      <c r="L136" s="17" t="n"/>
      <c r="M136" s="17" t="n"/>
      <c r="N136" s="19">
        <f>IF(OR(A136="",A136="EJEMPLO"),"",IF(M136="Enviado",DATEVALUE(A136)+2,""))</f>
        <v/>
      </c>
      <c r="O136" s="17" t="n"/>
    </row>
    <row r="137">
      <c r="A137" s="16" t="n"/>
      <c r="B137" s="17" t="n"/>
      <c r="C137" s="17" t="n"/>
      <c r="D137" s="17" t="n"/>
      <c r="E137" s="17" t="n"/>
      <c r="F137" s="18" t="n"/>
      <c r="G137" s="6">
        <f>IF(F137="","",IF(AND(F137&gt;=1500,F137&lt;=40000),"Sí","No"))</f>
        <v/>
      </c>
      <c r="H137" s="17" t="n"/>
      <c r="I137" s="17" t="n"/>
      <c r="J137" s="17" t="n"/>
      <c r="K137" s="17" t="n"/>
      <c r="L137" s="17" t="n"/>
      <c r="M137" s="17" t="n"/>
      <c r="N137" s="19">
        <f>IF(OR(A137="",A137="EJEMPLO"),"",IF(M137="Enviado",DATEVALUE(A137)+2,""))</f>
        <v/>
      </c>
      <c r="O137" s="17" t="n"/>
    </row>
    <row r="138">
      <c r="A138" s="16" t="n"/>
      <c r="B138" s="17" t="n"/>
      <c r="C138" s="17" t="n"/>
      <c r="D138" s="17" t="n"/>
      <c r="E138" s="17" t="n"/>
      <c r="F138" s="18" t="n"/>
      <c r="G138" s="6">
        <f>IF(F138="","",IF(AND(F138&gt;=1500,F138&lt;=40000),"Sí","No"))</f>
        <v/>
      </c>
      <c r="H138" s="17" t="n"/>
      <c r="I138" s="17" t="n"/>
      <c r="J138" s="17" t="n"/>
      <c r="K138" s="17" t="n"/>
      <c r="L138" s="17" t="n"/>
      <c r="M138" s="17" t="n"/>
      <c r="N138" s="19">
        <f>IF(OR(A138="",A138="EJEMPLO"),"",IF(M138="Enviado",DATEVALUE(A138)+2,""))</f>
        <v/>
      </c>
      <c r="O138" s="17" t="n"/>
    </row>
    <row r="139">
      <c r="A139" s="16" t="n"/>
      <c r="B139" s="17" t="n"/>
      <c r="C139" s="17" t="n"/>
      <c r="D139" s="17" t="n"/>
      <c r="E139" s="17" t="n"/>
      <c r="F139" s="18" t="n"/>
      <c r="G139" s="6">
        <f>IF(F139="","",IF(AND(F139&gt;=1500,F139&lt;=40000),"Sí","No"))</f>
        <v/>
      </c>
      <c r="H139" s="17" t="n"/>
      <c r="I139" s="17" t="n"/>
      <c r="J139" s="17" t="n"/>
      <c r="K139" s="17" t="n"/>
      <c r="L139" s="17" t="n"/>
      <c r="M139" s="17" t="n"/>
      <c r="N139" s="19">
        <f>IF(OR(A139="",A139="EJEMPLO"),"",IF(M139="Enviado",DATEVALUE(A139)+2,""))</f>
        <v/>
      </c>
      <c r="O139" s="17" t="n"/>
    </row>
    <row r="140">
      <c r="A140" s="16" t="n"/>
      <c r="B140" s="17" t="n"/>
      <c r="C140" s="17" t="n"/>
      <c r="D140" s="17" t="n"/>
      <c r="E140" s="17" t="n"/>
      <c r="F140" s="18" t="n"/>
      <c r="G140" s="6">
        <f>IF(F140="","",IF(AND(F140&gt;=1500,F140&lt;=40000),"Sí","No"))</f>
        <v/>
      </c>
      <c r="H140" s="17" t="n"/>
      <c r="I140" s="17" t="n"/>
      <c r="J140" s="17" t="n"/>
      <c r="K140" s="17" t="n"/>
      <c r="L140" s="17" t="n"/>
      <c r="M140" s="17" t="n"/>
      <c r="N140" s="19">
        <f>IF(OR(A140="",A140="EJEMPLO"),"",IF(M140="Enviado",DATEVALUE(A140)+2,""))</f>
        <v/>
      </c>
      <c r="O140" s="17" t="n"/>
    </row>
    <row r="141">
      <c r="A141" s="16" t="n"/>
      <c r="B141" s="17" t="n"/>
      <c r="C141" s="17" t="n"/>
      <c r="D141" s="17" t="n"/>
      <c r="E141" s="17" t="n"/>
      <c r="F141" s="18" t="n"/>
      <c r="G141" s="6">
        <f>IF(F141="","",IF(AND(F141&gt;=1500,F141&lt;=40000),"Sí","No"))</f>
        <v/>
      </c>
      <c r="H141" s="17" t="n"/>
      <c r="I141" s="17" t="n"/>
      <c r="J141" s="17" t="n"/>
      <c r="K141" s="17" t="n"/>
      <c r="L141" s="17" t="n"/>
      <c r="M141" s="17" t="n"/>
      <c r="N141" s="19">
        <f>IF(OR(A141="",A141="EJEMPLO"),"",IF(M141="Enviado",DATEVALUE(A141)+2,""))</f>
        <v/>
      </c>
      <c r="O141" s="17" t="n"/>
    </row>
    <row r="142">
      <c r="A142" s="16" t="n"/>
      <c r="B142" s="17" t="n"/>
      <c r="C142" s="17" t="n"/>
      <c r="D142" s="17" t="n"/>
      <c r="E142" s="17" t="n"/>
      <c r="F142" s="18" t="n"/>
      <c r="G142" s="6">
        <f>IF(F142="","",IF(AND(F142&gt;=1500,F142&lt;=40000),"Sí","No"))</f>
        <v/>
      </c>
      <c r="H142" s="17" t="n"/>
      <c r="I142" s="17" t="n"/>
      <c r="J142" s="17" t="n"/>
      <c r="K142" s="17" t="n"/>
      <c r="L142" s="17" t="n"/>
      <c r="M142" s="17" t="n"/>
      <c r="N142" s="19">
        <f>IF(OR(A142="",A142="EJEMPLO"),"",IF(M142="Enviado",DATEVALUE(A142)+2,""))</f>
        <v/>
      </c>
      <c r="O142" s="17" t="n"/>
    </row>
    <row r="143">
      <c r="A143" s="16" t="n"/>
      <c r="B143" s="17" t="n"/>
      <c r="C143" s="17" t="n"/>
      <c r="D143" s="17" t="n"/>
      <c r="E143" s="17" t="n"/>
      <c r="F143" s="18" t="n"/>
      <c r="G143" s="6">
        <f>IF(F143="","",IF(AND(F143&gt;=1500,F143&lt;=40000),"Sí","No"))</f>
        <v/>
      </c>
      <c r="H143" s="17" t="n"/>
      <c r="I143" s="17" t="n"/>
      <c r="J143" s="17" t="n"/>
      <c r="K143" s="17" t="n"/>
      <c r="L143" s="17" t="n"/>
      <c r="M143" s="17" t="n"/>
      <c r="N143" s="19">
        <f>IF(OR(A143="",A143="EJEMPLO"),"",IF(M143="Enviado",DATEVALUE(A143)+2,""))</f>
        <v/>
      </c>
      <c r="O143" s="17" t="n"/>
    </row>
    <row r="144">
      <c r="A144" s="16" t="n"/>
      <c r="B144" s="17" t="n"/>
      <c r="C144" s="17" t="n"/>
      <c r="D144" s="17" t="n"/>
      <c r="E144" s="17" t="n"/>
      <c r="F144" s="18" t="n"/>
      <c r="G144" s="6">
        <f>IF(F144="","",IF(AND(F144&gt;=1500,F144&lt;=40000),"Sí","No"))</f>
        <v/>
      </c>
      <c r="H144" s="17" t="n"/>
      <c r="I144" s="17" t="n"/>
      <c r="J144" s="17" t="n"/>
      <c r="K144" s="17" t="n"/>
      <c r="L144" s="17" t="n"/>
      <c r="M144" s="17" t="n"/>
      <c r="N144" s="19">
        <f>IF(OR(A144="",A144="EJEMPLO"),"",IF(M144="Enviado",DATEVALUE(A144)+2,""))</f>
        <v/>
      </c>
      <c r="O144" s="17" t="n"/>
    </row>
    <row r="145">
      <c r="A145" s="16" t="n"/>
      <c r="B145" s="17" t="n"/>
      <c r="C145" s="17" t="n"/>
      <c r="D145" s="17" t="n"/>
      <c r="E145" s="17" t="n"/>
      <c r="F145" s="18" t="n"/>
      <c r="G145" s="6">
        <f>IF(F145="","",IF(AND(F145&gt;=1500,F145&lt;=40000),"Sí","No"))</f>
        <v/>
      </c>
      <c r="H145" s="17" t="n"/>
      <c r="I145" s="17" t="n"/>
      <c r="J145" s="17" t="n"/>
      <c r="K145" s="17" t="n"/>
      <c r="L145" s="17" t="n"/>
      <c r="M145" s="17" t="n"/>
      <c r="N145" s="19">
        <f>IF(OR(A145="",A145="EJEMPLO"),"",IF(M145="Enviado",DATEVALUE(A145)+2,""))</f>
        <v/>
      </c>
      <c r="O145" s="17" t="n"/>
    </row>
    <row r="146">
      <c r="A146" s="16" t="n"/>
      <c r="B146" s="17" t="n"/>
      <c r="C146" s="17" t="n"/>
      <c r="D146" s="17" t="n"/>
      <c r="E146" s="17" t="n"/>
      <c r="F146" s="18" t="n"/>
      <c r="G146" s="6">
        <f>IF(F146="","",IF(AND(F146&gt;=1500,F146&lt;=40000),"Sí","No"))</f>
        <v/>
      </c>
      <c r="H146" s="17" t="n"/>
      <c r="I146" s="17" t="n"/>
      <c r="J146" s="17" t="n"/>
      <c r="K146" s="17" t="n"/>
      <c r="L146" s="17" t="n"/>
      <c r="M146" s="17" t="n"/>
      <c r="N146" s="19">
        <f>IF(OR(A146="",A146="EJEMPLO"),"",IF(M146="Enviado",DATEVALUE(A146)+2,""))</f>
        <v/>
      </c>
      <c r="O146" s="17" t="n"/>
    </row>
    <row r="147">
      <c r="A147" s="16" t="n"/>
      <c r="B147" s="17" t="n"/>
      <c r="C147" s="17" t="n"/>
      <c r="D147" s="17" t="n"/>
      <c r="E147" s="17" t="n"/>
      <c r="F147" s="18" t="n"/>
      <c r="G147" s="6">
        <f>IF(F147="","",IF(AND(F147&gt;=1500,F147&lt;=40000),"Sí","No"))</f>
        <v/>
      </c>
      <c r="H147" s="17" t="n"/>
      <c r="I147" s="17" t="n"/>
      <c r="J147" s="17" t="n"/>
      <c r="K147" s="17" t="n"/>
      <c r="L147" s="17" t="n"/>
      <c r="M147" s="17" t="n"/>
      <c r="N147" s="19">
        <f>IF(OR(A147="",A147="EJEMPLO"),"",IF(M147="Enviado",DATEVALUE(A147)+2,""))</f>
        <v/>
      </c>
      <c r="O147" s="17" t="n"/>
    </row>
    <row r="148">
      <c r="A148" s="16" t="n"/>
      <c r="B148" s="17" t="n"/>
      <c r="C148" s="17" t="n"/>
      <c r="D148" s="17" t="n"/>
      <c r="E148" s="17" t="n"/>
      <c r="F148" s="18" t="n"/>
      <c r="G148" s="6">
        <f>IF(F148="","",IF(AND(F148&gt;=1500,F148&lt;=40000),"Sí","No"))</f>
        <v/>
      </c>
      <c r="H148" s="17" t="n"/>
      <c r="I148" s="17" t="n"/>
      <c r="J148" s="17" t="n"/>
      <c r="K148" s="17" t="n"/>
      <c r="L148" s="17" t="n"/>
      <c r="M148" s="17" t="n"/>
      <c r="N148" s="19">
        <f>IF(OR(A148="",A148="EJEMPLO"),"",IF(M148="Enviado",DATEVALUE(A148)+2,""))</f>
        <v/>
      </c>
      <c r="O148" s="17" t="n"/>
    </row>
    <row r="149">
      <c r="A149" s="16" t="n"/>
      <c r="B149" s="17" t="n"/>
      <c r="C149" s="17" t="n"/>
      <c r="D149" s="17" t="n"/>
      <c r="E149" s="17" t="n"/>
      <c r="F149" s="18" t="n"/>
      <c r="G149" s="6">
        <f>IF(F149="","",IF(AND(F149&gt;=1500,F149&lt;=40000),"Sí","No"))</f>
        <v/>
      </c>
      <c r="H149" s="17" t="n"/>
      <c r="I149" s="17" t="n"/>
      <c r="J149" s="17" t="n"/>
      <c r="K149" s="17" t="n"/>
      <c r="L149" s="17" t="n"/>
      <c r="M149" s="17" t="n"/>
      <c r="N149" s="19">
        <f>IF(OR(A149="",A149="EJEMPLO"),"",IF(M149="Enviado",DATEVALUE(A149)+2,""))</f>
        <v/>
      </c>
      <c r="O149" s="17" t="n"/>
    </row>
    <row r="150">
      <c r="A150" s="16" t="n"/>
      <c r="B150" s="17" t="n"/>
      <c r="C150" s="17" t="n"/>
      <c r="D150" s="17" t="n"/>
      <c r="E150" s="17" t="n"/>
      <c r="F150" s="18" t="n"/>
      <c r="G150" s="6">
        <f>IF(F150="","",IF(AND(F150&gt;=1500,F150&lt;=40000),"Sí","No"))</f>
        <v/>
      </c>
      <c r="H150" s="17" t="n"/>
      <c r="I150" s="17" t="n"/>
      <c r="J150" s="17" t="n"/>
      <c r="K150" s="17" t="n"/>
      <c r="L150" s="17" t="n"/>
      <c r="M150" s="17" t="n"/>
      <c r="N150" s="19">
        <f>IF(OR(A150="",A150="EJEMPLO"),"",IF(M150="Enviado",DATEVALUE(A150)+2,""))</f>
        <v/>
      </c>
      <c r="O150" s="17" t="n"/>
    </row>
    <row r="151">
      <c r="A151" s="16" t="n"/>
      <c r="B151" s="17" t="n"/>
      <c r="C151" s="17" t="n"/>
      <c r="D151" s="17" t="n"/>
      <c r="E151" s="17" t="n"/>
      <c r="F151" s="18" t="n"/>
      <c r="G151" s="6">
        <f>IF(F151="","",IF(AND(F151&gt;=1500,F151&lt;=40000),"Sí","No"))</f>
        <v/>
      </c>
      <c r="H151" s="17" t="n"/>
      <c r="I151" s="17" t="n"/>
      <c r="J151" s="17" t="n"/>
      <c r="K151" s="17" t="n"/>
      <c r="L151" s="17" t="n"/>
      <c r="M151" s="17" t="n"/>
      <c r="N151" s="19">
        <f>IF(OR(A151="",A151="EJEMPLO"),"",IF(M151="Enviado",DATEVALUE(A151)+2,""))</f>
        <v/>
      </c>
      <c r="O151" s="17" t="n"/>
    </row>
    <row r="152">
      <c r="A152" s="16" t="n"/>
      <c r="B152" s="17" t="n"/>
      <c r="C152" s="17" t="n"/>
      <c r="D152" s="17" t="n"/>
      <c r="E152" s="17" t="n"/>
      <c r="F152" s="18" t="n"/>
      <c r="G152" s="6">
        <f>IF(F152="","",IF(AND(F152&gt;=1500,F152&lt;=40000),"Sí","No"))</f>
        <v/>
      </c>
      <c r="H152" s="17" t="n"/>
      <c r="I152" s="17" t="n"/>
      <c r="J152" s="17" t="n"/>
      <c r="K152" s="17" t="n"/>
      <c r="L152" s="17" t="n"/>
      <c r="M152" s="17" t="n"/>
      <c r="N152" s="19">
        <f>IF(OR(A152="",A152="EJEMPLO"),"",IF(M152="Enviado",DATEVALUE(A152)+2,""))</f>
        <v/>
      </c>
      <c r="O152" s="17" t="n"/>
    </row>
    <row r="153">
      <c r="A153" s="16" t="n"/>
      <c r="B153" s="17" t="n"/>
      <c r="C153" s="17" t="n"/>
      <c r="D153" s="17" t="n"/>
      <c r="E153" s="17" t="n"/>
      <c r="F153" s="18" t="n"/>
      <c r="G153" s="6">
        <f>IF(F153="","",IF(AND(F153&gt;=1500,F153&lt;=40000),"Sí","No"))</f>
        <v/>
      </c>
      <c r="H153" s="17" t="n"/>
      <c r="I153" s="17" t="n"/>
      <c r="J153" s="17" t="n"/>
      <c r="K153" s="17" t="n"/>
      <c r="L153" s="17" t="n"/>
      <c r="M153" s="17" t="n"/>
      <c r="N153" s="19">
        <f>IF(OR(A153="",A153="EJEMPLO"),"",IF(M153="Enviado",DATEVALUE(A153)+2,""))</f>
        <v/>
      </c>
      <c r="O153" s="17" t="n"/>
    </row>
    <row r="154">
      <c r="A154" s="16" t="n"/>
      <c r="B154" s="17" t="n"/>
      <c r="C154" s="17" t="n"/>
      <c r="D154" s="17" t="n"/>
      <c r="E154" s="17" t="n"/>
      <c r="F154" s="18" t="n"/>
      <c r="G154" s="6">
        <f>IF(F154="","",IF(AND(F154&gt;=1500,F154&lt;=40000),"Sí","No"))</f>
        <v/>
      </c>
      <c r="H154" s="17" t="n"/>
      <c r="I154" s="17" t="n"/>
      <c r="J154" s="17" t="n"/>
      <c r="K154" s="17" t="n"/>
      <c r="L154" s="17" t="n"/>
      <c r="M154" s="17" t="n"/>
      <c r="N154" s="19">
        <f>IF(OR(A154="",A154="EJEMPLO"),"",IF(M154="Enviado",DATEVALUE(A154)+2,""))</f>
        <v/>
      </c>
      <c r="O154" s="17" t="n"/>
    </row>
    <row r="155">
      <c r="A155" s="16" t="n"/>
      <c r="B155" s="17" t="n"/>
      <c r="C155" s="17" t="n"/>
      <c r="D155" s="17" t="n"/>
      <c r="E155" s="17" t="n"/>
      <c r="F155" s="18" t="n"/>
      <c r="G155" s="6">
        <f>IF(F155="","",IF(AND(F155&gt;=1500,F155&lt;=40000),"Sí","No"))</f>
        <v/>
      </c>
      <c r="H155" s="17" t="n"/>
      <c r="I155" s="17" t="n"/>
      <c r="J155" s="17" t="n"/>
      <c r="K155" s="17" t="n"/>
      <c r="L155" s="17" t="n"/>
      <c r="M155" s="17" t="n"/>
      <c r="N155" s="19">
        <f>IF(OR(A155="",A155="EJEMPLO"),"",IF(M155="Enviado",DATEVALUE(A155)+2,""))</f>
        <v/>
      </c>
      <c r="O155" s="17" t="n"/>
    </row>
    <row r="156">
      <c r="A156" s="16" t="n"/>
      <c r="B156" s="17" t="n"/>
      <c r="C156" s="17" t="n"/>
      <c r="D156" s="17" t="n"/>
      <c r="E156" s="17" t="n"/>
      <c r="F156" s="18" t="n"/>
      <c r="G156" s="6">
        <f>IF(F156="","",IF(AND(F156&gt;=1500,F156&lt;=40000),"Sí","No"))</f>
        <v/>
      </c>
      <c r="H156" s="17" t="n"/>
      <c r="I156" s="17" t="n"/>
      <c r="J156" s="17" t="n"/>
      <c r="K156" s="17" t="n"/>
      <c r="L156" s="17" t="n"/>
      <c r="M156" s="17" t="n"/>
      <c r="N156" s="19">
        <f>IF(OR(A156="",A156="EJEMPLO"),"",IF(M156="Enviado",DATEVALUE(A156)+2,""))</f>
        <v/>
      </c>
      <c r="O156" s="17" t="n"/>
    </row>
    <row r="157">
      <c r="A157" s="16" t="n"/>
      <c r="B157" s="17" t="n"/>
      <c r="C157" s="17" t="n"/>
      <c r="D157" s="17" t="n"/>
      <c r="E157" s="17" t="n"/>
      <c r="F157" s="18" t="n"/>
      <c r="G157" s="6">
        <f>IF(F157="","",IF(AND(F157&gt;=1500,F157&lt;=40000),"Sí","No"))</f>
        <v/>
      </c>
      <c r="H157" s="17" t="n"/>
      <c r="I157" s="17" t="n"/>
      <c r="J157" s="17" t="n"/>
      <c r="K157" s="17" t="n"/>
      <c r="L157" s="17" t="n"/>
      <c r="M157" s="17" t="n"/>
      <c r="N157" s="19">
        <f>IF(OR(A157="",A157="EJEMPLO"),"",IF(M157="Enviado",DATEVALUE(A157)+2,""))</f>
        <v/>
      </c>
      <c r="O157" s="17" t="n"/>
    </row>
    <row r="158">
      <c r="A158" s="16" t="n"/>
      <c r="B158" s="17" t="n"/>
      <c r="C158" s="17" t="n"/>
      <c r="D158" s="17" t="n"/>
      <c r="E158" s="17" t="n"/>
      <c r="F158" s="18" t="n"/>
      <c r="G158" s="6">
        <f>IF(F158="","",IF(AND(F158&gt;=1500,F158&lt;=40000),"Sí","No"))</f>
        <v/>
      </c>
      <c r="H158" s="17" t="n"/>
      <c r="I158" s="17" t="n"/>
      <c r="J158" s="17" t="n"/>
      <c r="K158" s="17" t="n"/>
      <c r="L158" s="17" t="n"/>
      <c r="M158" s="17" t="n"/>
      <c r="N158" s="19">
        <f>IF(OR(A158="",A158="EJEMPLO"),"",IF(M158="Enviado",DATEVALUE(A158)+2,""))</f>
        <v/>
      </c>
      <c r="O158" s="17" t="n"/>
    </row>
    <row r="159">
      <c r="A159" s="16" t="n"/>
      <c r="B159" s="17" t="n"/>
      <c r="C159" s="17" t="n"/>
      <c r="D159" s="17" t="n"/>
      <c r="E159" s="17" t="n"/>
      <c r="F159" s="18" t="n"/>
      <c r="G159" s="6">
        <f>IF(F159="","",IF(AND(F159&gt;=1500,F159&lt;=40000),"Sí","No"))</f>
        <v/>
      </c>
      <c r="H159" s="17" t="n"/>
      <c r="I159" s="17" t="n"/>
      <c r="J159" s="17" t="n"/>
      <c r="K159" s="17" t="n"/>
      <c r="L159" s="17" t="n"/>
      <c r="M159" s="17" t="n"/>
      <c r="N159" s="19">
        <f>IF(OR(A159="",A159="EJEMPLO"),"",IF(M159="Enviado",DATEVALUE(A159)+2,""))</f>
        <v/>
      </c>
      <c r="O159" s="17" t="n"/>
    </row>
    <row r="160">
      <c r="A160" s="16" t="n"/>
      <c r="B160" s="17" t="n"/>
      <c r="C160" s="17" t="n"/>
      <c r="D160" s="17" t="n"/>
      <c r="E160" s="17" t="n"/>
      <c r="F160" s="18" t="n"/>
      <c r="G160" s="6">
        <f>IF(F160="","",IF(AND(F160&gt;=1500,F160&lt;=40000),"Sí","No"))</f>
        <v/>
      </c>
      <c r="H160" s="17" t="n"/>
      <c r="I160" s="17" t="n"/>
      <c r="J160" s="17" t="n"/>
      <c r="K160" s="17" t="n"/>
      <c r="L160" s="17" t="n"/>
      <c r="M160" s="17" t="n"/>
      <c r="N160" s="19">
        <f>IF(OR(A160="",A160="EJEMPLO"),"",IF(M160="Enviado",DATEVALUE(A160)+2,""))</f>
        <v/>
      </c>
      <c r="O160" s="17" t="n"/>
    </row>
    <row r="161">
      <c r="A161" s="16" t="n"/>
      <c r="B161" s="17" t="n"/>
      <c r="C161" s="17" t="n"/>
      <c r="D161" s="17" t="n"/>
      <c r="E161" s="17" t="n"/>
      <c r="F161" s="18" t="n"/>
      <c r="G161" s="6">
        <f>IF(F161="","",IF(AND(F161&gt;=1500,F161&lt;=40000),"Sí","No"))</f>
        <v/>
      </c>
      <c r="H161" s="17" t="n"/>
      <c r="I161" s="17" t="n"/>
      <c r="J161" s="17" t="n"/>
      <c r="K161" s="17" t="n"/>
      <c r="L161" s="17" t="n"/>
      <c r="M161" s="17" t="n"/>
      <c r="N161" s="19">
        <f>IF(OR(A161="",A161="EJEMPLO"),"",IF(M161="Enviado",DATEVALUE(A161)+2,""))</f>
        <v/>
      </c>
      <c r="O161" s="17" t="n"/>
    </row>
    <row r="162">
      <c r="A162" s="16" t="n"/>
      <c r="B162" s="17" t="n"/>
      <c r="C162" s="17" t="n"/>
      <c r="D162" s="17" t="n"/>
      <c r="E162" s="17" t="n"/>
      <c r="F162" s="18" t="n"/>
      <c r="G162" s="6">
        <f>IF(F162="","",IF(AND(F162&gt;=1500,F162&lt;=40000),"Sí","No"))</f>
        <v/>
      </c>
      <c r="H162" s="17" t="n"/>
      <c r="I162" s="17" t="n"/>
      <c r="J162" s="17" t="n"/>
      <c r="K162" s="17" t="n"/>
      <c r="L162" s="17" t="n"/>
      <c r="M162" s="17" t="n"/>
      <c r="N162" s="19">
        <f>IF(OR(A162="",A162="EJEMPLO"),"",IF(M162="Enviado",DATEVALUE(A162)+2,""))</f>
        <v/>
      </c>
      <c r="O162" s="17" t="n"/>
    </row>
    <row r="163">
      <c r="A163" s="16" t="n"/>
      <c r="B163" s="17" t="n"/>
      <c r="C163" s="17" t="n"/>
      <c r="D163" s="17" t="n"/>
      <c r="E163" s="17" t="n"/>
      <c r="F163" s="18" t="n"/>
      <c r="G163" s="6">
        <f>IF(F163="","",IF(AND(F163&gt;=1500,F163&lt;=40000),"Sí","No"))</f>
        <v/>
      </c>
      <c r="H163" s="17" t="n"/>
      <c r="I163" s="17" t="n"/>
      <c r="J163" s="17" t="n"/>
      <c r="K163" s="17" t="n"/>
      <c r="L163" s="17" t="n"/>
      <c r="M163" s="17" t="n"/>
      <c r="N163" s="19">
        <f>IF(OR(A163="",A163="EJEMPLO"),"",IF(M163="Enviado",DATEVALUE(A163)+2,""))</f>
        <v/>
      </c>
      <c r="O163" s="17" t="n"/>
    </row>
    <row r="164">
      <c r="A164" s="16" t="n"/>
      <c r="B164" s="17" t="n"/>
      <c r="C164" s="17" t="n"/>
      <c r="D164" s="17" t="n"/>
      <c r="E164" s="17" t="n"/>
      <c r="F164" s="18" t="n"/>
      <c r="G164" s="6">
        <f>IF(F164="","",IF(AND(F164&gt;=1500,F164&lt;=40000),"Sí","No"))</f>
        <v/>
      </c>
      <c r="H164" s="17" t="n"/>
      <c r="I164" s="17" t="n"/>
      <c r="J164" s="17" t="n"/>
      <c r="K164" s="17" t="n"/>
      <c r="L164" s="17" t="n"/>
      <c r="M164" s="17" t="n"/>
      <c r="N164" s="19">
        <f>IF(OR(A164="",A164="EJEMPLO"),"",IF(M164="Enviado",DATEVALUE(A164)+2,""))</f>
        <v/>
      </c>
      <c r="O164" s="17" t="n"/>
    </row>
    <row r="165">
      <c r="A165" s="16" t="n"/>
      <c r="B165" s="17" t="n"/>
      <c r="C165" s="17" t="n"/>
      <c r="D165" s="17" t="n"/>
      <c r="E165" s="17" t="n"/>
      <c r="F165" s="18" t="n"/>
      <c r="G165" s="6">
        <f>IF(F165="","",IF(AND(F165&gt;=1500,F165&lt;=40000),"Sí","No"))</f>
        <v/>
      </c>
      <c r="H165" s="17" t="n"/>
      <c r="I165" s="17" t="n"/>
      <c r="J165" s="17" t="n"/>
      <c r="K165" s="17" t="n"/>
      <c r="L165" s="17" t="n"/>
      <c r="M165" s="17" t="n"/>
      <c r="N165" s="19">
        <f>IF(OR(A165="",A165="EJEMPLO"),"",IF(M165="Enviado",DATEVALUE(A165)+2,""))</f>
        <v/>
      </c>
      <c r="O165" s="17" t="n"/>
    </row>
    <row r="166">
      <c r="A166" s="16" t="n"/>
      <c r="B166" s="17" t="n"/>
      <c r="C166" s="17" t="n"/>
      <c r="D166" s="17" t="n"/>
      <c r="E166" s="17" t="n"/>
      <c r="F166" s="18" t="n"/>
      <c r="G166" s="6">
        <f>IF(F166="","",IF(AND(F166&gt;=1500,F166&lt;=40000),"Sí","No"))</f>
        <v/>
      </c>
      <c r="H166" s="17" t="n"/>
      <c r="I166" s="17" t="n"/>
      <c r="J166" s="17" t="n"/>
      <c r="K166" s="17" t="n"/>
      <c r="L166" s="17" t="n"/>
      <c r="M166" s="17" t="n"/>
      <c r="N166" s="19">
        <f>IF(OR(A166="",A166="EJEMPLO"),"",IF(M166="Enviado",DATEVALUE(A166)+2,""))</f>
        <v/>
      </c>
      <c r="O166" s="17" t="n"/>
    </row>
    <row r="167">
      <c r="A167" s="16" t="n"/>
      <c r="B167" s="17" t="n"/>
      <c r="C167" s="17" t="n"/>
      <c r="D167" s="17" t="n"/>
      <c r="E167" s="17" t="n"/>
      <c r="F167" s="18" t="n"/>
      <c r="G167" s="6">
        <f>IF(F167="","",IF(AND(F167&gt;=1500,F167&lt;=40000),"Sí","No"))</f>
        <v/>
      </c>
      <c r="H167" s="17" t="n"/>
      <c r="I167" s="17" t="n"/>
      <c r="J167" s="17" t="n"/>
      <c r="K167" s="17" t="n"/>
      <c r="L167" s="17" t="n"/>
      <c r="M167" s="17" t="n"/>
      <c r="N167" s="19">
        <f>IF(OR(A167="",A167="EJEMPLO"),"",IF(M167="Enviado",DATEVALUE(A167)+2,""))</f>
        <v/>
      </c>
      <c r="O167" s="17" t="n"/>
    </row>
    <row r="168">
      <c r="A168" s="16" t="n"/>
      <c r="B168" s="17" t="n"/>
      <c r="C168" s="17" t="n"/>
      <c r="D168" s="17" t="n"/>
      <c r="E168" s="17" t="n"/>
      <c r="F168" s="18" t="n"/>
      <c r="G168" s="6">
        <f>IF(F168="","",IF(AND(F168&gt;=1500,F168&lt;=40000),"Sí","No"))</f>
        <v/>
      </c>
      <c r="H168" s="17" t="n"/>
      <c r="I168" s="17" t="n"/>
      <c r="J168" s="17" t="n"/>
      <c r="K168" s="17" t="n"/>
      <c r="L168" s="17" t="n"/>
      <c r="M168" s="17" t="n"/>
      <c r="N168" s="19">
        <f>IF(OR(A168="",A168="EJEMPLO"),"",IF(M168="Enviado",DATEVALUE(A168)+2,""))</f>
        <v/>
      </c>
      <c r="O168" s="17" t="n"/>
    </row>
    <row r="169">
      <c r="A169" s="16" t="n"/>
      <c r="B169" s="17" t="n"/>
      <c r="C169" s="17" t="n"/>
      <c r="D169" s="17" t="n"/>
      <c r="E169" s="17" t="n"/>
      <c r="F169" s="18" t="n"/>
      <c r="G169" s="6">
        <f>IF(F169="","",IF(AND(F169&gt;=1500,F169&lt;=40000),"Sí","No"))</f>
        <v/>
      </c>
      <c r="H169" s="17" t="n"/>
      <c r="I169" s="17" t="n"/>
      <c r="J169" s="17" t="n"/>
      <c r="K169" s="17" t="n"/>
      <c r="L169" s="17" t="n"/>
      <c r="M169" s="17" t="n"/>
      <c r="N169" s="19">
        <f>IF(OR(A169="",A169="EJEMPLO"),"",IF(M169="Enviado",DATEVALUE(A169)+2,""))</f>
        <v/>
      </c>
      <c r="O169" s="17" t="n"/>
    </row>
    <row r="170">
      <c r="A170" s="16" t="n"/>
      <c r="B170" s="17" t="n"/>
      <c r="C170" s="17" t="n"/>
      <c r="D170" s="17" t="n"/>
      <c r="E170" s="17" t="n"/>
      <c r="F170" s="18" t="n"/>
      <c r="G170" s="6">
        <f>IF(F170="","",IF(AND(F170&gt;=1500,F170&lt;=40000),"Sí","No"))</f>
        <v/>
      </c>
      <c r="H170" s="17" t="n"/>
      <c r="I170" s="17" t="n"/>
      <c r="J170" s="17" t="n"/>
      <c r="K170" s="17" t="n"/>
      <c r="L170" s="17" t="n"/>
      <c r="M170" s="17" t="n"/>
      <c r="N170" s="19">
        <f>IF(OR(A170="",A170="EJEMPLO"),"",IF(M170="Enviado",DATEVALUE(A170)+2,""))</f>
        <v/>
      </c>
      <c r="O170" s="17" t="n"/>
    </row>
    <row r="171">
      <c r="A171" s="16" t="n"/>
      <c r="B171" s="17" t="n"/>
      <c r="C171" s="17" t="n"/>
      <c r="D171" s="17" t="n"/>
      <c r="E171" s="17" t="n"/>
      <c r="F171" s="18" t="n"/>
      <c r="G171" s="6">
        <f>IF(F171="","",IF(AND(F171&gt;=1500,F171&lt;=40000),"Sí","No"))</f>
        <v/>
      </c>
      <c r="H171" s="17" t="n"/>
      <c r="I171" s="17" t="n"/>
      <c r="J171" s="17" t="n"/>
      <c r="K171" s="17" t="n"/>
      <c r="L171" s="17" t="n"/>
      <c r="M171" s="17" t="n"/>
      <c r="N171" s="19">
        <f>IF(OR(A171="",A171="EJEMPLO"),"",IF(M171="Enviado",DATEVALUE(A171)+2,""))</f>
        <v/>
      </c>
      <c r="O171" s="17" t="n"/>
    </row>
    <row r="172">
      <c r="A172" s="16" t="n"/>
      <c r="B172" s="17" t="n"/>
      <c r="C172" s="17" t="n"/>
      <c r="D172" s="17" t="n"/>
      <c r="E172" s="17" t="n"/>
      <c r="F172" s="18" t="n"/>
      <c r="G172" s="6">
        <f>IF(F172="","",IF(AND(F172&gt;=1500,F172&lt;=40000),"Sí","No"))</f>
        <v/>
      </c>
      <c r="H172" s="17" t="n"/>
      <c r="I172" s="17" t="n"/>
      <c r="J172" s="17" t="n"/>
      <c r="K172" s="17" t="n"/>
      <c r="L172" s="17" t="n"/>
      <c r="M172" s="17" t="n"/>
      <c r="N172" s="19">
        <f>IF(OR(A172="",A172="EJEMPLO"),"",IF(M172="Enviado",DATEVALUE(A172)+2,""))</f>
        <v/>
      </c>
      <c r="O172" s="17" t="n"/>
    </row>
    <row r="173">
      <c r="A173" s="16" t="n"/>
      <c r="B173" s="17" t="n"/>
      <c r="C173" s="17" t="n"/>
      <c r="D173" s="17" t="n"/>
      <c r="E173" s="17" t="n"/>
      <c r="F173" s="18" t="n"/>
      <c r="G173" s="6">
        <f>IF(F173="","",IF(AND(F173&gt;=1500,F173&lt;=40000),"Sí","No"))</f>
        <v/>
      </c>
      <c r="H173" s="17" t="n"/>
      <c r="I173" s="17" t="n"/>
      <c r="J173" s="17" t="n"/>
      <c r="K173" s="17" t="n"/>
      <c r="L173" s="17" t="n"/>
      <c r="M173" s="17" t="n"/>
      <c r="N173" s="19">
        <f>IF(OR(A173="",A173="EJEMPLO"),"",IF(M173="Enviado",DATEVALUE(A173)+2,""))</f>
        <v/>
      </c>
      <c r="O173" s="17" t="n"/>
    </row>
    <row r="174">
      <c r="A174" s="16" t="n"/>
      <c r="B174" s="17" t="n"/>
      <c r="C174" s="17" t="n"/>
      <c r="D174" s="17" t="n"/>
      <c r="E174" s="17" t="n"/>
      <c r="F174" s="18" t="n"/>
      <c r="G174" s="6">
        <f>IF(F174="","",IF(AND(F174&gt;=1500,F174&lt;=40000),"Sí","No"))</f>
        <v/>
      </c>
      <c r="H174" s="17" t="n"/>
      <c r="I174" s="17" t="n"/>
      <c r="J174" s="17" t="n"/>
      <c r="K174" s="17" t="n"/>
      <c r="L174" s="17" t="n"/>
      <c r="M174" s="17" t="n"/>
      <c r="N174" s="19">
        <f>IF(OR(A174="",A174="EJEMPLO"),"",IF(M174="Enviado",DATEVALUE(A174)+2,""))</f>
        <v/>
      </c>
      <c r="O174" s="17" t="n"/>
    </row>
    <row r="175">
      <c r="A175" s="16" t="n"/>
      <c r="B175" s="17" t="n"/>
      <c r="C175" s="17" t="n"/>
      <c r="D175" s="17" t="n"/>
      <c r="E175" s="17" t="n"/>
      <c r="F175" s="18" t="n"/>
      <c r="G175" s="6">
        <f>IF(F175="","",IF(AND(F175&gt;=1500,F175&lt;=40000),"Sí","No"))</f>
        <v/>
      </c>
      <c r="H175" s="17" t="n"/>
      <c r="I175" s="17" t="n"/>
      <c r="J175" s="17" t="n"/>
      <c r="K175" s="17" t="n"/>
      <c r="L175" s="17" t="n"/>
      <c r="M175" s="17" t="n"/>
      <c r="N175" s="19">
        <f>IF(OR(A175="",A175="EJEMPLO"),"",IF(M175="Enviado",DATEVALUE(A175)+2,""))</f>
        <v/>
      </c>
      <c r="O175" s="17" t="n"/>
    </row>
    <row r="176">
      <c r="A176" s="16" t="n"/>
      <c r="B176" s="17" t="n"/>
      <c r="C176" s="17" t="n"/>
      <c r="D176" s="17" t="n"/>
      <c r="E176" s="17" t="n"/>
      <c r="F176" s="18" t="n"/>
      <c r="G176" s="6">
        <f>IF(F176="","",IF(AND(F176&gt;=1500,F176&lt;=40000),"Sí","No"))</f>
        <v/>
      </c>
      <c r="H176" s="17" t="n"/>
      <c r="I176" s="17" t="n"/>
      <c r="J176" s="17" t="n"/>
      <c r="K176" s="17" t="n"/>
      <c r="L176" s="17" t="n"/>
      <c r="M176" s="17" t="n"/>
      <c r="N176" s="19">
        <f>IF(OR(A176="",A176="EJEMPLO"),"",IF(M176="Enviado",DATEVALUE(A176)+2,""))</f>
        <v/>
      </c>
      <c r="O176" s="17" t="n"/>
    </row>
    <row r="177">
      <c r="A177" s="16" t="n"/>
      <c r="B177" s="17" t="n"/>
      <c r="C177" s="17" t="n"/>
      <c r="D177" s="17" t="n"/>
      <c r="E177" s="17" t="n"/>
      <c r="F177" s="18" t="n"/>
      <c r="G177" s="6">
        <f>IF(F177="","",IF(AND(F177&gt;=1500,F177&lt;=40000),"Sí","No"))</f>
        <v/>
      </c>
      <c r="H177" s="17" t="n"/>
      <c r="I177" s="17" t="n"/>
      <c r="J177" s="17" t="n"/>
      <c r="K177" s="17" t="n"/>
      <c r="L177" s="17" t="n"/>
      <c r="M177" s="17" t="n"/>
      <c r="N177" s="19">
        <f>IF(OR(A177="",A177="EJEMPLO"),"",IF(M177="Enviado",DATEVALUE(A177)+2,""))</f>
        <v/>
      </c>
      <c r="O177" s="17" t="n"/>
    </row>
    <row r="178">
      <c r="A178" s="16" t="n"/>
      <c r="B178" s="17" t="n"/>
      <c r="C178" s="17" t="n"/>
      <c r="D178" s="17" t="n"/>
      <c r="E178" s="17" t="n"/>
      <c r="F178" s="18" t="n"/>
      <c r="G178" s="6">
        <f>IF(F178="","",IF(AND(F178&gt;=1500,F178&lt;=40000),"Sí","No"))</f>
        <v/>
      </c>
      <c r="H178" s="17" t="n"/>
      <c r="I178" s="17" t="n"/>
      <c r="J178" s="17" t="n"/>
      <c r="K178" s="17" t="n"/>
      <c r="L178" s="17" t="n"/>
      <c r="M178" s="17" t="n"/>
      <c r="N178" s="19">
        <f>IF(OR(A178="",A178="EJEMPLO"),"",IF(M178="Enviado",DATEVALUE(A178)+2,""))</f>
        <v/>
      </c>
      <c r="O178" s="17" t="n"/>
    </row>
    <row r="179">
      <c r="A179" s="16" t="n"/>
      <c r="B179" s="17" t="n"/>
      <c r="C179" s="17" t="n"/>
      <c r="D179" s="17" t="n"/>
      <c r="E179" s="17" t="n"/>
      <c r="F179" s="18" t="n"/>
      <c r="G179" s="6">
        <f>IF(F179="","",IF(AND(F179&gt;=1500,F179&lt;=40000),"Sí","No"))</f>
        <v/>
      </c>
      <c r="H179" s="17" t="n"/>
      <c r="I179" s="17" t="n"/>
      <c r="J179" s="17" t="n"/>
      <c r="K179" s="17" t="n"/>
      <c r="L179" s="17" t="n"/>
      <c r="M179" s="17" t="n"/>
      <c r="N179" s="19">
        <f>IF(OR(A179="",A179="EJEMPLO"),"",IF(M179="Enviado",DATEVALUE(A179)+2,""))</f>
        <v/>
      </c>
      <c r="O179" s="17" t="n"/>
    </row>
    <row r="180">
      <c r="A180" s="16" t="n"/>
      <c r="B180" s="17" t="n"/>
      <c r="C180" s="17" t="n"/>
      <c r="D180" s="17" t="n"/>
      <c r="E180" s="17" t="n"/>
      <c r="F180" s="18" t="n"/>
      <c r="G180" s="6">
        <f>IF(F180="","",IF(AND(F180&gt;=1500,F180&lt;=40000),"Sí","No"))</f>
        <v/>
      </c>
      <c r="H180" s="17" t="n"/>
      <c r="I180" s="17" t="n"/>
      <c r="J180" s="17" t="n"/>
      <c r="K180" s="17" t="n"/>
      <c r="L180" s="17" t="n"/>
      <c r="M180" s="17" t="n"/>
      <c r="N180" s="19">
        <f>IF(OR(A180="",A180="EJEMPLO"),"",IF(M180="Enviado",DATEVALUE(A180)+2,""))</f>
        <v/>
      </c>
      <c r="O180" s="17" t="n"/>
    </row>
    <row r="181">
      <c r="A181" s="16" t="n"/>
      <c r="B181" s="17" t="n"/>
      <c r="C181" s="17" t="n"/>
      <c r="D181" s="17" t="n"/>
      <c r="E181" s="17" t="n"/>
      <c r="F181" s="18" t="n"/>
      <c r="G181" s="6">
        <f>IF(F181="","",IF(AND(F181&gt;=1500,F181&lt;=40000),"Sí","No"))</f>
        <v/>
      </c>
      <c r="H181" s="17" t="n"/>
      <c r="I181" s="17" t="n"/>
      <c r="J181" s="17" t="n"/>
      <c r="K181" s="17" t="n"/>
      <c r="L181" s="17" t="n"/>
      <c r="M181" s="17" t="n"/>
      <c r="N181" s="19">
        <f>IF(OR(A181="",A181="EJEMPLO"),"",IF(M181="Enviado",DATEVALUE(A181)+2,""))</f>
        <v/>
      </c>
      <c r="O181" s="17" t="n"/>
    </row>
    <row r="182">
      <c r="A182" s="16" t="n"/>
      <c r="B182" s="17" t="n"/>
      <c r="C182" s="17" t="n"/>
      <c r="D182" s="17" t="n"/>
      <c r="E182" s="17" t="n"/>
      <c r="F182" s="18" t="n"/>
      <c r="G182" s="6">
        <f>IF(F182="","",IF(AND(F182&gt;=1500,F182&lt;=40000),"Sí","No"))</f>
        <v/>
      </c>
      <c r="H182" s="17" t="n"/>
      <c r="I182" s="17" t="n"/>
      <c r="J182" s="17" t="n"/>
      <c r="K182" s="17" t="n"/>
      <c r="L182" s="17" t="n"/>
      <c r="M182" s="17" t="n"/>
      <c r="N182" s="19">
        <f>IF(OR(A182="",A182="EJEMPLO"),"",IF(M182="Enviado",DATEVALUE(A182)+2,""))</f>
        <v/>
      </c>
      <c r="O182" s="17" t="n"/>
    </row>
    <row r="183">
      <c r="A183" s="16" t="n"/>
      <c r="B183" s="17" t="n"/>
      <c r="C183" s="17" t="n"/>
      <c r="D183" s="17" t="n"/>
      <c r="E183" s="17" t="n"/>
      <c r="F183" s="18" t="n"/>
      <c r="G183" s="6">
        <f>IF(F183="","",IF(AND(F183&gt;=1500,F183&lt;=40000),"Sí","No"))</f>
        <v/>
      </c>
      <c r="H183" s="17" t="n"/>
      <c r="I183" s="17" t="n"/>
      <c r="J183" s="17" t="n"/>
      <c r="K183" s="17" t="n"/>
      <c r="L183" s="17" t="n"/>
      <c r="M183" s="17" t="n"/>
      <c r="N183" s="19">
        <f>IF(OR(A183="",A183="EJEMPLO"),"",IF(M183="Enviado",DATEVALUE(A183)+2,""))</f>
        <v/>
      </c>
      <c r="O183" s="17" t="n"/>
    </row>
    <row r="184">
      <c r="A184" s="16" t="n"/>
      <c r="B184" s="17" t="n"/>
      <c r="C184" s="17" t="n"/>
      <c r="D184" s="17" t="n"/>
      <c r="E184" s="17" t="n"/>
      <c r="F184" s="18" t="n"/>
      <c r="G184" s="6">
        <f>IF(F184="","",IF(AND(F184&gt;=1500,F184&lt;=40000),"Sí","No"))</f>
        <v/>
      </c>
      <c r="H184" s="17" t="n"/>
      <c r="I184" s="17" t="n"/>
      <c r="J184" s="17" t="n"/>
      <c r="K184" s="17" t="n"/>
      <c r="L184" s="17" t="n"/>
      <c r="M184" s="17" t="n"/>
      <c r="N184" s="19">
        <f>IF(OR(A184="",A184="EJEMPLO"),"",IF(M184="Enviado",DATEVALUE(A184)+2,""))</f>
        <v/>
      </c>
      <c r="O184" s="17" t="n"/>
    </row>
    <row r="185">
      <c r="A185" s="16" t="n"/>
      <c r="B185" s="17" t="n"/>
      <c r="C185" s="17" t="n"/>
      <c r="D185" s="17" t="n"/>
      <c r="E185" s="17" t="n"/>
      <c r="F185" s="18" t="n"/>
      <c r="G185" s="6">
        <f>IF(F185="","",IF(AND(F185&gt;=1500,F185&lt;=40000),"Sí","No"))</f>
        <v/>
      </c>
      <c r="H185" s="17" t="n"/>
      <c r="I185" s="17" t="n"/>
      <c r="J185" s="17" t="n"/>
      <c r="K185" s="17" t="n"/>
      <c r="L185" s="17" t="n"/>
      <c r="M185" s="17" t="n"/>
      <c r="N185" s="19">
        <f>IF(OR(A185="",A185="EJEMPLO"),"",IF(M185="Enviado",DATEVALUE(A185)+2,""))</f>
        <v/>
      </c>
      <c r="O185" s="17" t="n"/>
    </row>
    <row r="186">
      <c r="A186" s="16" t="n"/>
      <c r="B186" s="17" t="n"/>
      <c r="C186" s="17" t="n"/>
      <c r="D186" s="17" t="n"/>
      <c r="E186" s="17" t="n"/>
      <c r="F186" s="18" t="n"/>
      <c r="G186" s="6">
        <f>IF(F186="","",IF(AND(F186&gt;=1500,F186&lt;=40000),"Sí","No"))</f>
        <v/>
      </c>
      <c r="H186" s="17" t="n"/>
      <c r="I186" s="17" t="n"/>
      <c r="J186" s="17" t="n"/>
      <c r="K186" s="17" t="n"/>
      <c r="L186" s="17" t="n"/>
      <c r="M186" s="17" t="n"/>
      <c r="N186" s="19">
        <f>IF(OR(A186="",A186="EJEMPLO"),"",IF(M186="Enviado",DATEVALUE(A186)+2,""))</f>
        <v/>
      </c>
      <c r="O186" s="17" t="n"/>
    </row>
    <row r="187">
      <c r="A187" s="16" t="n"/>
      <c r="B187" s="17" t="n"/>
      <c r="C187" s="17" t="n"/>
      <c r="D187" s="17" t="n"/>
      <c r="E187" s="17" t="n"/>
      <c r="F187" s="18" t="n"/>
      <c r="G187" s="6">
        <f>IF(F187="","",IF(AND(F187&gt;=1500,F187&lt;=40000),"Sí","No"))</f>
        <v/>
      </c>
      <c r="H187" s="17" t="n"/>
      <c r="I187" s="17" t="n"/>
      <c r="J187" s="17" t="n"/>
      <c r="K187" s="17" t="n"/>
      <c r="L187" s="17" t="n"/>
      <c r="M187" s="17" t="n"/>
      <c r="N187" s="19">
        <f>IF(OR(A187="",A187="EJEMPLO"),"",IF(M187="Enviado",DATEVALUE(A187)+2,""))</f>
        <v/>
      </c>
      <c r="O187" s="17" t="n"/>
    </row>
    <row r="188">
      <c r="A188" s="16" t="n"/>
      <c r="B188" s="17" t="n"/>
      <c r="C188" s="17" t="n"/>
      <c r="D188" s="17" t="n"/>
      <c r="E188" s="17" t="n"/>
      <c r="F188" s="18" t="n"/>
      <c r="G188" s="6">
        <f>IF(F188="","",IF(AND(F188&gt;=1500,F188&lt;=40000),"Sí","No"))</f>
        <v/>
      </c>
      <c r="H188" s="17" t="n"/>
      <c r="I188" s="17" t="n"/>
      <c r="J188" s="17" t="n"/>
      <c r="K188" s="17" t="n"/>
      <c r="L188" s="17" t="n"/>
      <c r="M188" s="17" t="n"/>
      <c r="N188" s="19">
        <f>IF(OR(A188="",A188="EJEMPLO"),"",IF(M188="Enviado",DATEVALUE(A188)+2,""))</f>
        <v/>
      </c>
      <c r="O188" s="17" t="n"/>
    </row>
    <row r="189">
      <c r="A189" s="16" t="n"/>
      <c r="B189" s="17" t="n"/>
      <c r="C189" s="17" t="n"/>
      <c r="D189" s="17" t="n"/>
      <c r="E189" s="17" t="n"/>
      <c r="F189" s="18" t="n"/>
      <c r="G189" s="6">
        <f>IF(F189="","",IF(AND(F189&gt;=1500,F189&lt;=40000),"Sí","No"))</f>
        <v/>
      </c>
      <c r="H189" s="17" t="n"/>
      <c r="I189" s="17" t="n"/>
      <c r="J189" s="17" t="n"/>
      <c r="K189" s="17" t="n"/>
      <c r="L189" s="17" t="n"/>
      <c r="M189" s="17" t="n"/>
      <c r="N189" s="19">
        <f>IF(OR(A189="",A189="EJEMPLO"),"",IF(M189="Enviado",DATEVALUE(A189)+2,""))</f>
        <v/>
      </c>
      <c r="O189" s="17" t="n"/>
    </row>
    <row r="190">
      <c r="A190" s="16" t="n"/>
      <c r="B190" s="17" t="n"/>
      <c r="C190" s="17" t="n"/>
      <c r="D190" s="17" t="n"/>
      <c r="E190" s="17" t="n"/>
      <c r="F190" s="18" t="n"/>
      <c r="G190" s="6">
        <f>IF(F190="","",IF(AND(F190&gt;=1500,F190&lt;=40000),"Sí","No"))</f>
        <v/>
      </c>
      <c r="H190" s="17" t="n"/>
      <c r="I190" s="17" t="n"/>
      <c r="J190" s="17" t="n"/>
      <c r="K190" s="17" t="n"/>
      <c r="L190" s="17" t="n"/>
      <c r="M190" s="17" t="n"/>
      <c r="N190" s="19">
        <f>IF(OR(A190="",A190="EJEMPLO"),"",IF(M190="Enviado",DATEVALUE(A190)+2,""))</f>
        <v/>
      </c>
      <c r="O190" s="17" t="n"/>
    </row>
    <row r="191">
      <c r="A191" s="16" t="n"/>
      <c r="B191" s="17" t="n"/>
      <c r="C191" s="17" t="n"/>
      <c r="D191" s="17" t="n"/>
      <c r="E191" s="17" t="n"/>
      <c r="F191" s="18" t="n"/>
      <c r="G191" s="6">
        <f>IF(F191="","",IF(AND(F191&gt;=1500,F191&lt;=40000),"Sí","No"))</f>
        <v/>
      </c>
      <c r="H191" s="17" t="n"/>
      <c r="I191" s="17" t="n"/>
      <c r="J191" s="17" t="n"/>
      <c r="K191" s="17" t="n"/>
      <c r="L191" s="17" t="n"/>
      <c r="M191" s="17" t="n"/>
      <c r="N191" s="19">
        <f>IF(OR(A191="",A191="EJEMPLO"),"",IF(M191="Enviado",DATEVALUE(A191)+2,""))</f>
        <v/>
      </c>
      <c r="O191" s="17" t="n"/>
    </row>
    <row r="192">
      <c r="A192" s="16" t="n"/>
      <c r="B192" s="17" t="n"/>
      <c r="C192" s="17" t="n"/>
      <c r="D192" s="17" t="n"/>
      <c r="E192" s="17" t="n"/>
      <c r="F192" s="18" t="n"/>
      <c r="G192" s="6">
        <f>IF(F192="","",IF(AND(F192&gt;=1500,F192&lt;=40000),"Sí","No"))</f>
        <v/>
      </c>
      <c r="H192" s="17" t="n"/>
      <c r="I192" s="17" t="n"/>
      <c r="J192" s="17" t="n"/>
      <c r="K192" s="17" t="n"/>
      <c r="L192" s="17" t="n"/>
      <c r="M192" s="17" t="n"/>
      <c r="N192" s="19">
        <f>IF(OR(A192="",A192="EJEMPLO"),"",IF(M192="Enviado",DATEVALUE(A192)+2,""))</f>
        <v/>
      </c>
      <c r="O192" s="17" t="n"/>
    </row>
    <row r="193">
      <c r="A193" s="16" t="n"/>
      <c r="B193" s="17" t="n"/>
      <c r="C193" s="17" t="n"/>
      <c r="D193" s="17" t="n"/>
      <c r="E193" s="17" t="n"/>
      <c r="F193" s="18" t="n"/>
      <c r="G193" s="6">
        <f>IF(F193="","",IF(AND(F193&gt;=1500,F193&lt;=40000),"Sí","No"))</f>
        <v/>
      </c>
      <c r="H193" s="17" t="n"/>
      <c r="I193" s="17" t="n"/>
      <c r="J193" s="17" t="n"/>
      <c r="K193" s="17" t="n"/>
      <c r="L193" s="17" t="n"/>
      <c r="M193" s="17" t="n"/>
      <c r="N193" s="19">
        <f>IF(OR(A193="",A193="EJEMPLO"),"",IF(M193="Enviado",DATEVALUE(A193)+2,""))</f>
        <v/>
      </c>
      <c r="O193" s="17" t="n"/>
    </row>
    <row r="194">
      <c r="A194" s="16" t="n"/>
      <c r="B194" s="17" t="n"/>
      <c r="C194" s="17" t="n"/>
      <c r="D194" s="17" t="n"/>
      <c r="E194" s="17" t="n"/>
      <c r="F194" s="18" t="n"/>
      <c r="G194" s="6">
        <f>IF(F194="","",IF(AND(F194&gt;=1500,F194&lt;=40000),"Sí","No"))</f>
        <v/>
      </c>
      <c r="H194" s="17" t="n"/>
      <c r="I194" s="17" t="n"/>
      <c r="J194" s="17" t="n"/>
      <c r="K194" s="17" t="n"/>
      <c r="L194" s="17" t="n"/>
      <c r="M194" s="17" t="n"/>
      <c r="N194" s="19">
        <f>IF(OR(A194="",A194="EJEMPLO"),"",IF(M194="Enviado",DATEVALUE(A194)+2,""))</f>
        <v/>
      </c>
      <c r="O194" s="17" t="n"/>
    </row>
    <row r="195">
      <c r="A195" s="16" t="n"/>
      <c r="B195" s="17" t="n"/>
      <c r="C195" s="17" t="n"/>
      <c r="D195" s="17" t="n"/>
      <c r="E195" s="17" t="n"/>
      <c r="F195" s="18" t="n"/>
      <c r="G195" s="6">
        <f>IF(F195="","",IF(AND(F195&gt;=1500,F195&lt;=40000),"Sí","No"))</f>
        <v/>
      </c>
      <c r="H195" s="17" t="n"/>
      <c r="I195" s="17" t="n"/>
      <c r="J195" s="17" t="n"/>
      <c r="K195" s="17" t="n"/>
      <c r="L195" s="17" t="n"/>
      <c r="M195" s="17" t="n"/>
      <c r="N195" s="19">
        <f>IF(OR(A195="",A195="EJEMPLO"),"",IF(M195="Enviado",DATEVALUE(A195)+2,""))</f>
        <v/>
      </c>
      <c r="O195" s="17" t="n"/>
    </row>
    <row r="196">
      <c r="A196" s="16" t="n"/>
      <c r="B196" s="17" t="n"/>
      <c r="C196" s="17" t="n"/>
      <c r="D196" s="17" t="n"/>
      <c r="E196" s="17" t="n"/>
      <c r="F196" s="18" t="n"/>
      <c r="G196" s="6">
        <f>IF(F196="","",IF(AND(F196&gt;=1500,F196&lt;=40000),"Sí","No"))</f>
        <v/>
      </c>
      <c r="H196" s="17" t="n"/>
      <c r="I196" s="17" t="n"/>
      <c r="J196" s="17" t="n"/>
      <c r="K196" s="17" t="n"/>
      <c r="L196" s="17" t="n"/>
      <c r="M196" s="17" t="n"/>
      <c r="N196" s="19">
        <f>IF(OR(A196="",A196="EJEMPLO"),"",IF(M196="Enviado",DATEVALUE(A196)+2,""))</f>
        <v/>
      </c>
      <c r="O196" s="17" t="n"/>
    </row>
    <row r="197">
      <c r="A197" s="16" t="n"/>
      <c r="B197" s="17" t="n"/>
      <c r="C197" s="17" t="n"/>
      <c r="D197" s="17" t="n"/>
      <c r="E197" s="17" t="n"/>
      <c r="F197" s="18" t="n"/>
      <c r="G197" s="6">
        <f>IF(F197="","",IF(AND(F197&gt;=1500,F197&lt;=40000),"Sí","No"))</f>
        <v/>
      </c>
      <c r="H197" s="17" t="n"/>
      <c r="I197" s="17" t="n"/>
      <c r="J197" s="17" t="n"/>
      <c r="K197" s="17" t="n"/>
      <c r="L197" s="17" t="n"/>
      <c r="M197" s="17" t="n"/>
      <c r="N197" s="19">
        <f>IF(OR(A197="",A197="EJEMPLO"),"",IF(M197="Enviado",DATEVALUE(A197)+2,""))</f>
        <v/>
      </c>
      <c r="O197" s="17" t="n"/>
    </row>
    <row r="198">
      <c r="A198" s="16" t="n"/>
      <c r="B198" s="17" t="n"/>
      <c r="C198" s="17" t="n"/>
      <c r="D198" s="17" t="n"/>
      <c r="E198" s="17" t="n"/>
      <c r="F198" s="18" t="n"/>
      <c r="G198" s="6">
        <f>IF(F198="","",IF(AND(F198&gt;=1500,F198&lt;=40000),"Sí","No"))</f>
        <v/>
      </c>
      <c r="H198" s="17" t="n"/>
      <c r="I198" s="17" t="n"/>
      <c r="J198" s="17" t="n"/>
      <c r="K198" s="17" t="n"/>
      <c r="L198" s="17" t="n"/>
      <c r="M198" s="17" t="n"/>
      <c r="N198" s="19">
        <f>IF(OR(A198="",A198="EJEMPLO"),"",IF(M198="Enviado",DATEVALUE(A198)+2,""))</f>
        <v/>
      </c>
      <c r="O198" s="17" t="n"/>
    </row>
    <row r="199">
      <c r="A199" s="16" t="n"/>
      <c r="B199" s="17" t="n"/>
      <c r="C199" s="17" t="n"/>
      <c r="D199" s="17" t="n"/>
      <c r="E199" s="17" t="n"/>
      <c r="F199" s="18" t="n"/>
      <c r="G199" s="6">
        <f>IF(F199="","",IF(AND(F199&gt;=1500,F199&lt;=40000),"Sí","No"))</f>
        <v/>
      </c>
      <c r="H199" s="17" t="n"/>
      <c r="I199" s="17" t="n"/>
      <c r="J199" s="17" t="n"/>
      <c r="K199" s="17" t="n"/>
      <c r="L199" s="17" t="n"/>
      <c r="M199" s="17" t="n"/>
      <c r="N199" s="19">
        <f>IF(OR(A199="",A199="EJEMPLO"),"",IF(M199="Enviado",DATEVALUE(A199)+2,""))</f>
        <v/>
      </c>
      <c r="O199" s="17" t="n"/>
    </row>
    <row r="200">
      <c r="A200" s="16" t="n"/>
      <c r="B200" s="17" t="n"/>
      <c r="C200" s="17" t="n"/>
      <c r="D200" s="17" t="n"/>
      <c r="E200" s="17" t="n"/>
      <c r="F200" s="18" t="n"/>
      <c r="G200" s="6">
        <f>IF(F200="","",IF(AND(F200&gt;=1500,F200&lt;=40000),"Sí","No"))</f>
        <v/>
      </c>
      <c r="H200" s="17" t="n"/>
      <c r="I200" s="17" t="n"/>
      <c r="J200" s="17" t="n"/>
      <c r="K200" s="17" t="n"/>
      <c r="L200" s="17" t="n"/>
      <c r="M200" s="17" t="n"/>
      <c r="N200" s="19">
        <f>IF(OR(A200="",A200="EJEMPLO"),"",IF(M200="Enviado",DATEVALUE(A200)+2,""))</f>
        <v/>
      </c>
      <c r="O200" s="17" t="n"/>
    </row>
    <row r="201">
      <c r="A201" s="16" t="n"/>
      <c r="B201" s="17" t="n"/>
      <c r="C201" s="17" t="n"/>
      <c r="D201" s="17" t="n"/>
      <c r="E201" s="17" t="n"/>
      <c r="F201" s="18" t="n"/>
      <c r="G201" s="6">
        <f>IF(F201="","",IF(AND(F201&gt;=1500,F201&lt;=40000),"Sí","No"))</f>
        <v/>
      </c>
      <c r="H201" s="17" t="n"/>
      <c r="I201" s="17" t="n"/>
      <c r="J201" s="17" t="n"/>
      <c r="K201" s="17" t="n"/>
      <c r="L201" s="17" t="n"/>
      <c r="M201" s="17" t="n"/>
      <c r="N201" s="19">
        <f>IF(OR(A201="",A201="EJEMPLO"),"",IF(M201="Enviado",DATEVALUE(A201)+2,""))</f>
        <v/>
      </c>
      <c r="O201" s="17" t="n"/>
    </row>
  </sheetData>
  <conditionalFormatting sqref="G2:G201">
    <cfRule type="expression" priority="1" dxfId="0">
      <formula>G2="No"</formula>
    </cfRule>
  </conditionalFormatting>
  <conditionalFormatting sqref="M2:M201">
    <cfRule type="expression" priority="2" dxfId="1">
      <formula>OR(M2="Reunión",M2="Cerrado")</formula>
    </cfRule>
  </conditionalFormatting>
  <dataValidations count="4">
    <dataValidation sqref="E2:E201" showDropDown="0" showInputMessage="0" showErrorMessage="0" allowBlank="1" type="list">
      <formula1>"S1,S2,S3,S4,S5"</formula1>
    </dataValidation>
    <dataValidation sqref="D2:D201" showDropDown="0" showInputMessage="0" showErrorMessage="0" allowBlank="1" type="list">
      <formula1>"IG,TikTok,WhatsApp,Google"</formula1>
    </dataValidation>
    <dataValidation sqref="H2:H201" showDropDown="0" showInputMessage="0" showErrorMessage="0" allowBlank="1" type="list">
      <formula1>"No,Mala,Sí"</formula1>
    </dataValidation>
    <dataValidation sqref="M2:M201" showDropDown="0" showInputMessage="0" showErrorMessage="0" allowBlank="1" type="list">
      <formula1>"Por revisar,Por contactar,Enviado,Respondió,Reunión,Cerrado,No,Frío"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2026-09-28T16:50:50Z</dcterms:created>
  <dcterms:modified xsi:type="dcterms:W3CDTF">2026-09-28T16:50:50Z</dcterms:modified>
</cp:coreProperties>
</file>